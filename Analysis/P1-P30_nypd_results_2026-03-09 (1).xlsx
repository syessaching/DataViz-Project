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Winter2026/CS490R/DataViz-Project/Analysis/"/>
    </mc:Choice>
  </mc:AlternateContent>
  <xr:revisionPtr revIDLastSave="0" documentId="13_ncr:1_{FD28130B-E576-C848-811C-88ADFD9F1798}" xr6:coauthVersionLast="47" xr6:coauthVersionMax="47" xr10:uidLastSave="{00000000-0000-0000-0000-000000000000}"/>
  <bookViews>
    <workbookView xWindow="0" yWindow="660" windowWidth="29400" windowHeight="17020" activeTab="1" xr2:uid="{00000000-000D-0000-FFFF-FFFF00000000}"/>
  </bookViews>
  <sheets>
    <sheet name="SOURCE" sheetId="1" r:id="rId1"/>
    <sheet name="Average Calc" sheetId="3" r:id="rId2"/>
    <sheet name="Sheet3" sheetId="4" r:id="rId3"/>
    <sheet name="Sheet4" sheetId="5" r:id="rId4"/>
  </sheets>
  <definedNames>
    <definedName name="_xlnm._FilterDatabase" localSheetId="0" hidden="1">SOURCE!$C$1:$C$391</definedName>
  </definedNames>
  <calcPr calcId="18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2" i="1"/>
</calcChain>
</file>

<file path=xl/sharedStrings.xml><?xml version="1.0" encoding="utf-8"?>
<sst xmlns="http://schemas.openxmlformats.org/spreadsheetml/2006/main" count="2137" uniqueCount="103">
  <si>
    <t>participant</t>
  </si>
  <si>
    <t>trial_kind</t>
  </si>
  <si>
    <t>chart</t>
  </si>
  <si>
    <t>year</t>
  </si>
  <si>
    <t>trial_idx</t>
  </si>
  <si>
    <t>task_type</t>
  </si>
  <si>
    <t>correct_answer</t>
  </si>
  <si>
    <t>submitted</t>
  </si>
  <si>
    <t>correct</t>
  </si>
  <si>
    <t>seconds</t>
  </si>
  <si>
    <t>timeout</t>
  </si>
  <si>
    <t>P02</t>
  </si>
  <si>
    <t>performance</t>
  </si>
  <si>
    <t>STACK_LOWEST</t>
  </si>
  <si>
    <t>Age</t>
  </si>
  <si>
    <t>STACK_NUM58</t>
  </si>
  <si>
    <t>58</t>
  </si>
  <si>
    <t>perception</t>
  </si>
  <si>
    <t>2</t>
  </si>
  <si>
    <t>BAR_SECOND_HIGHEST</t>
  </si>
  <si>
    <t>Race/Color</t>
  </si>
  <si>
    <t>BAR_NUM25</t>
  </si>
  <si>
    <t>Ethnicity/National Origin/Ancestry</t>
  </si>
  <si>
    <t>5</t>
  </si>
  <si>
    <t>TREEMAP_SECOND_LOWEST</t>
  </si>
  <si>
    <t>Gender</t>
  </si>
  <si>
    <t>TREEMAP_CLOSE_PAIR</t>
  </si>
  <si>
    <t>Gender &amp; Age</t>
  </si>
  <si>
    <t>3</t>
  </si>
  <si>
    <t>LINE_HIGH_SPIKE</t>
  </si>
  <si>
    <t>Religion/Religious Practice</t>
  </si>
  <si>
    <t>LINE_CLOSE_TO_HIGHEST</t>
  </si>
  <si>
    <t>preference</t>
  </si>
  <si>
    <t>Line Graph</t>
  </si>
  <si>
    <t>P03</t>
  </si>
  <si>
    <t>4</t>
  </si>
  <si>
    <t>P04</t>
  </si>
  <si>
    <t>Bar Chart</t>
  </si>
  <si>
    <t>P05</t>
  </si>
  <si>
    <t>P06</t>
  </si>
  <si>
    <t>39</t>
  </si>
  <si>
    <t>P07</t>
  </si>
  <si>
    <t>Tree Map</t>
  </si>
  <si>
    <t>P08</t>
  </si>
  <si>
    <t>P09</t>
  </si>
  <si>
    <t>Religion/Religious Practice &amp; Sexual Orientation</t>
  </si>
  <si>
    <t>P10</t>
  </si>
  <si>
    <t>P11</t>
  </si>
  <si>
    <t>P01</t>
  </si>
  <si>
    <t>conf_treemap</t>
  </si>
  <si>
    <t>conf_bar</t>
  </si>
  <si>
    <t>conf_stack</t>
  </si>
  <si>
    <t>conf_line</t>
  </si>
  <si>
    <t>P12</t>
  </si>
  <si>
    <t>P13</t>
  </si>
  <si>
    <t>P14</t>
  </si>
  <si>
    <t>P15</t>
  </si>
  <si>
    <t>P16</t>
  </si>
  <si>
    <t>P17</t>
  </si>
  <si>
    <t>Ethnicity/National Origin/Ancestry &amp; Gender</t>
  </si>
  <si>
    <t>P18</t>
  </si>
  <si>
    <t>P19</t>
  </si>
  <si>
    <t>1</t>
  </si>
  <si>
    <t>Sexual Orientation &amp; Age</t>
  </si>
  <si>
    <t>P20</t>
  </si>
  <si>
    <t>P21</t>
  </si>
  <si>
    <t>P22</t>
  </si>
  <si>
    <t>P23</t>
  </si>
  <si>
    <t>P24</t>
  </si>
  <si>
    <t>46</t>
  </si>
  <si>
    <t>P25</t>
  </si>
  <si>
    <t>Stack Chart</t>
  </si>
  <si>
    <t>P26</t>
  </si>
  <si>
    <t>P27</t>
  </si>
  <si>
    <t>Race/Color &amp; Gender</t>
  </si>
  <si>
    <t>P28</t>
  </si>
  <si>
    <t>Sexual Orientation</t>
  </si>
  <si>
    <t>P29</t>
  </si>
  <si>
    <t>P30</t>
  </si>
  <si>
    <t>correct_num</t>
  </si>
  <si>
    <t>Row Labels</t>
  </si>
  <si>
    <t>Grand Total</t>
  </si>
  <si>
    <t>Average of correct_num</t>
  </si>
  <si>
    <t>Average of seconds</t>
  </si>
  <si>
    <t>Column Labels</t>
  </si>
  <si>
    <t>Anova: Two-Factor Without Replication</t>
  </si>
  <si>
    <t>SUMMARY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</si>
  <si>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</si>
  <si>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</si>
  <si>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</si>
  <si>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</si>
  <si>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</si>
  <si>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</si>
  <si>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</si>
  <si>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</si>
  <si>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</si>
  <si>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</si>
  <si>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</si>
  <si>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</si>
  <si>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Rows</t>
  </si>
  <si>
    <t>Columns</t>
  </si>
  <si>
    <t>Error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</si>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</sst>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169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169" formatCode="0.0"/>
    </dxf>
    <dxf>
      <numFmt numFmtId="169" formatCode="0.0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[P1-P30_nypd_results_2026-03-09 (1).xlsx]Average Calc!PivotTable3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Accuracy by Visualization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Calc'!$B$3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Calc'!$A$4:$A$8</c:f>
              <c:strCache>
                <c:ptCount val="4"/>
                <c:pt idx="0">
                  <c:v>Bar Chart</c:v>
                </c:pt>
                <c:pt idx="1">
                  <c:v>Line Graph</c:v>
                </c:pt>
                <c:pt idx="2">
                  <c:v>Tree Map</c:v>
                </c:pt>
                <c:pt idx="3">
                  <c:v>Stack Chart</c:v>
                </c:pt>
              </c:strCache>
            </c:strRef>
          </c:cat>
          <c:val>
            <c:numRef>
              <c:f>'Average Calc'!$B$4:$B$8</c:f>
              <c:numCache>
                <c:formatCode>0%</c:formatCode>
                <c:ptCount val="4"/>
                <c:pt idx="0">
                  <c:v>0.47619047619047616</c:v>
                </c:pt>
                <c:pt idx="1">
                  <c:v>0.45098039215686275</c:v>
                </c:pt>
                <c:pt idx="2">
                  <c:v>0.32608695652173914</c:v>
                </c:pt>
                <c:pt idx="3">
                  <c:v>0.31868131868131866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9-654A-8DB7-D39FD26567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9597760"/>
        <c:axId val="589645120"/>
      </c:barChart>
      <c:catAx>
        <c:axId val="58959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45120"/>
        <c:crosses val="autoZero"/>
        <c:auto val="1"/>
        <c:lblAlgn val="ctr"/>
        <c:lblOffset val="100"/>
        <c:noMultiLvlLbl val="0"/>
      </c:catAx>
      <c:valAx>
        <c:axId val="5896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9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[P1-P30_nypd_results_2026-03-09 (1).xlsx]Average Calc!PivotTable4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Response Time by Visualization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Calc'!$B$31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Calc'!$A$32:$A$36</c:f>
              <c:strCache>
                <c:ptCount val="4"/>
                <c:pt idx="0">
                  <c:v>Stack Chart</c:v>
                </c:pt>
                <c:pt idx="1">
                  <c:v>Tree Map</c:v>
                </c:pt>
                <c:pt idx="2">
                  <c:v>Bar Chart</c:v>
                </c:pt>
                <c:pt idx="3">
                  <c:v>Line Graph</c:v>
                </c:pt>
              </c:strCache>
            </c:strRef>
          </c:cat>
          <c:val>
            <c:numRef>
              <c:f>'Average Calc'!$B$32:$B$36</c:f>
              <c:numCache>
                <c:formatCode>0.0</c:formatCode>
                <c:ptCount val="4"/>
                <c:pt idx="0">
                  <c:v>10.55794221162796</c:v>
                </c:pt>
                <c:pt idx="1">
                  <c:v>10.205177919069927</c:v>
                </c:pt>
                <c:pt idx="2">
                  <c:v>8.0018586635589593</c:v>
                </c:pt>
                <c:pt idx="3">
                  <c:v>7.569679591615321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8-184C-B455-00092D759D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73516160"/>
        <c:axId val="673518400"/>
      </c:barChart>
      <c:catAx>
        <c:axId val="67351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18400"/>
        <c:crosses val="autoZero"/>
        <c:auto val="1"/>
        <c:lblAlgn val="ctr"/>
        <c:lblOffset val="100"/>
        <c:noMultiLvlLbl val="0"/>
      </c:catAx>
      <c:valAx>
        <c:axId val="6735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1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368300</xdr:colOff>
      <xdr:row>0</xdr:row>
      <xdr:rowOff>101600</xdr:rowOff>
    </xdr:from>
    <xdr:to>
      <xdr:col>10</xdr:col>
      <xdr:colOff>800100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FA675-B1D0-C73B-474E-8F74811BF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25</xdr:row>
      <xdr:rowOff>88900</xdr:rowOff>
    </xdr:from>
    <xdr:to>
      <xdr:col>10</xdr:col>
      <xdr:colOff>812800</xdr:colOff>
      <xdr:row>47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69884-B94E-18FF-FBBC-781FB6EEA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oimhe" refreshedDate="46101.987666898145" createdVersion="8" refreshedVersion="8" minRefreshableVersion="3" recordCount="390" xr:uid="{471EB493-C324-3143-915B-E83A1749CA70}">
  <cacheSource type="worksheet">
    <worksheetSource ref="A1:Q391" sheet="SOURCE"/>
  </cacheSource>
  <cacheFields count="17">
    <cacheField name="participant" numFmtId="0">
      <sharedItems count="30">
        <s v="P01"/>
        <s v="P02"/>
        <s v="P03"/>
        <s v="P04"/>
        <s v="P05"/>
        <s v="P06"/>
        <s v="P07"/>
        <s v="P08"/>
        <s v="P09"/>
        <s v="P10"/>
        <s v="P11"/>
        <s v="P12"/>
        <s v="P13"/>
        <s v="P14"/>
        <s v="P15"/>
        <s v="P16"/>
        <s v="P17"/>
        <s v="P18"/>
        <s v="P19"/>
        <s v="P20"/>
        <s v="P21"/>
        <s v="P22"/>
        <s v="P23"/>
        <s v="P24"/>
        <s v="P25"/>
        <s v="P26"/>
        <s v="P27"/>
        <s v="P28"/>
        <s v="P29"/>
        <s v="P30"/>
      </sharedItems>
    </cacheField>
    <cacheField name="trial_kind" numFmtId="0">
      <sharedItems/>
    </cacheField>
    <cacheField name="chart" numFmtId="0">
      <sharedItems count="4">
        <s v="Tree Map"/>
        <s v="Bar Chart"/>
        <s v="Stack Chart"/>
        <s v="Line Graph"/>
      </sharedItems>
    </cacheField>
    <cacheField name="year" numFmtId="0">
      <sharedItems containsSemiMixedTypes="0" containsString="0" containsNumber="1" containsInteger="1" minValue="2025" maxValue="2025"/>
    </cacheField>
    <cacheField name="trial_idx" numFmtId="0">
      <sharedItems containsString="0" containsBlank="1" containsNumber="1" containsInteger="1" minValue="1" maxValue="12"/>
    </cacheField>
    <cacheField name="task_type" numFmtId="0">
      <sharedItems containsBlank="1"/>
    </cacheField>
    <cacheField name="correct_answer" numFmtId="0">
      <sharedItems containsBlank="1"/>
    </cacheField>
    <cacheField name="submitted" numFmtId="0">
      <sharedItems containsBlank="1"/>
    </cacheField>
    <cacheField name="correct" numFmtId="0">
      <sharedItems containsBlank="1"/>
    </cacheField>
    <cacheField name="correct_num" numFmtId="0">
      <sharedItems containsSemiMixedTypes="0" containsString="0" containsNumber="1" containsInteger="1" minValue="0" maxValue="1"/>
    </cacheField>
    <cacheField name="seconds" numFmtId="0">
      <sharedItems containsString="0" containsBlank="1" containsNumber="1" minValue="1.4765539169311519" maxValue="15"/>
    </cacheField>
    <cacheField name="timeout" numFmtId="0">
      <sharedItems containsBlank="1"/>
    </cacheField>
    <cacheField name="conf_treemap" numFmtId="0">
      <sharedItems containsString="0" containsBlank="1" containsNumber="1" containsInteger="1" minValue="1" maxValue="5"/>
    </cacheField>
    <cacheField name="conf_bar" numFmtId="0">
      <sharedItems containsString="0" containsBlank="1" containsNumber="1" containsInteger="1" minValue="2" maxValue="5"/>
    </cacheField>
    <cacheField name="conf_stack" numFmtId="0">
      <sharedItems containsString="0" containsBlank="1" containsNumber="1" containsInteger="1" minValue="1" maxValue="5"/>
    </cacheField>
    <cacheField name="conf_line" numFmtId="0">
      <sharedItems containsString="0" containsBlank="1" containsNumber="1" containsInteger="1" minValue="2" maxValue="5"/>
    </cacheField>
    <cacheField name="preferen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x v="0"/>
    <s v="performance"/>
    <x v="0"/>
    <n v="2025"/>
    <n v="1"/>
    <s v="TREEMAP_SECOND_LOWEST"/>
    <s v="Gender"/>
    <s v="Gender"/>
    <b v="1"/>
    <n v="1"/>
    <n v="8.5144248008728027"/>
    <b v="0"/>
    <m/>
    <m/>
    <m/>
    <m/>
    <m/>
  </r>
  <r>
    <x v="0"/>
    <s v="performance"/>
    <x v="0"/>
    <n v="2025"/>
    <n v="2"/>
    <s v="TREEMAP_CLOSE_PAIR"/>
    <s v="Gender &amp; Age"/>
    <s v="Gender &amp; Age"/>
    <b v="1"/>
    <n v="1"/>
    <n v="5.449923038482666"/>
    <b v="0"/>
    <m/>
    <m/>
    <m/>
    <m/>
    <m/>
  </r>
  <r>
    <x v="0"/>
    <s v="perception"/>
    <x v="0"/>
    <n v="2025"/>
    <n v="3"/>
    <m/>
    <m/>
    <s v="5"/>
    <m/>
    <n v="0"/>
    <m/>
    <m/>
    <n v="5"/>
    <m/>
    <m/>
    <m/>
    <m/>
  </r>
  <r>
    <x v="0"/>
    <s v="performance"/>
    <x v="1"/>
    <n v="2025"/>
    <n v="4"/>
    <s v="BAR_SECOND_HIGHEST"/>
    <s v="Race/Color"/>
    <s v="Race/Color"/>
    <b v="1"/>
    <n v="1"/>
    <n v="5.2964651584625244"/>
    <b v="0"/>
    <m/>
    <m/>
    <m/>
    <m/>
    <m/>
  </r>
  <r>
    <x v="0"/>
    <s v="performance"/>
    <x v="1"/>
    <n v="2025"/>
    <n v="5"/>
    <s v="BAR_NUM25"/>
    <s v="Ethnicity/National Origin/Ancestry"/>
    <s v="Ethnicity/National Origin/Ancestry"/>
    <b v="1"/>
    <n v="1"/>
    <n v="4.8858489990234384"/>
    <b v="0"/>
    <m/>
    <m/>
    <m/>
    <m/>
    <m/>
  </r>
  <r>
    <x v="0"/>
    <s v="perception"/>
    <x v="1"/>
    <n v="2025"/>
    <n v="6"/>
    <m/>
    <m/>
    <s v="5"/>
    <m/>
    <n v="0"/>
    <m/>
    <m/>
    <m/>
    <n v="5"/>
    <m/>
    <m/>
    <m/>
  </r>
  <r>
    <x v="0"/>
    <s v="performance"/>
    <x v="2"/>
    <n v="2025"/>
    <n v="7"/>
    <s v="STACK_LOWEST"/>
    <s v="Age"/>
    <s v="Age"/>
    <b v="1"/>
    <n v="1"/>
    <n v="2.1983151435852051"/>
    <b v="0"/>
    <m/>
    <m/>
    <m/>
    <m/>
    <m/>
  </r>
  <r>
    <x v="0"/>
    <s v="performance"/>
    <x v="2"/>
    <n v="2025"/>
    <n v="8"/>
    <s v="STACK_NUM58"/>
    <s v="58"/>
    <s v="58"/>
    <b v="1"/>
    <n v="1"/>
    <n v="14.231828927993771"/>
    <b v="0"/>
    <m/>
    <m/>
    <m/>
    <m/>
    <m/>
  </r>
  <r>
    <x v="0"/>
    <s v="perception"/>
    <x v="2"/>
    <n v="2025"/>
    <n v="9"/>
    <m/>
    <m/>
    <s v="4"/>
    <m/>
    <n v="0"/>
    <m/>
    <m/>
    <m/>
    <m/>
    <n v="4"/>
    <m/>
    <m/>
  </r>
  <r>
    <x v="0"/>
    <s v="performance"/>
    <x v="3"/>
    <n v="2025"/>
    <n v="10"/>
    <s v="LINE_HIGH_SPIKE"/>
    <s v="Religion/Religious Practice"/>
    <s v="Religion/Religious Practice"/>
    <b v="1"/>
    <n v="1"/>
    <n v="6.2394630908966056"/>
    <b v="0"/>
    <m/>
    <m/>
    <m/>
    <m/>
    <m/>
  </r>
  <r>
    <x v="0"/>
    <s v="performance"/>
    <x v="3"/>
    <n v="2025"/>
    <n v="11"/>
    <s v="LINE_CLOSE_TO_HIGHEST"/>
    <s v="Race/Color"/>
    <s v="Race/Color"/>
    <b v="1"/>
    <n v="1"/>
    <n v="2.0035760402679439"/>
    <b v="0"/>
    <m/>
    <m/>
    <m/>
    <m/>
    <m/>
  </r>
  <r>
    <x v="0"/>
    <s v="perception"/>
    <x v="3"/>
    <n v="2025"/>
    <n v="12"/>
    <m/>
    <m/>
    <s v="5"/>
    <m/>
    <n v="0"/>
    <m/>
    <m/>
    <m/>
    <m/>
    <m/>
    <n v="5"/>
    <m/>
  </r>
  <r>
    <x v="0"/>
    <s v="preference"/>
    <x v="3"/>
    <n v="2025"/>
    <m/>
    <m/>
    <m/>
    <s v="Line Graph"/>
    <m/>
    <n v="0"/>
    <m/>
    <m/>
    <m/>
    <m/>
    <m/>
    <m/>
    <s v="Line Graph"/>
  </r>
  <r>
    <x v="1"/>
    <s v="performance"/>
    <x v="2"/>
    <n v="2025"/>
    <n v="1"/>
    <s v="STACK_LOWEST"/>
    <s v="Age"/>
    <s v="Age"/>
    <b v="1"/>
    <n v="1"/>
    <n v="9.579185962677002"/>
    <b v="0"/>
    <m/>
    <m/>
    <m/>
    <m/>
    <m/>
  </r>
  <r>
    <x v="1"/>
    <s v="performance"/>
    <x v="2"/>
    <n v="2025"/>
    <n v="2"/>
    <s v="STACK_NUM58"/>
    <s v="58"/>
    <m/>
    <b v="0"/>
    <n v="0"/>
    <n v="15"/>
    <b v="1"/>
    <m/>
    <m/>
    <m/>
    <m/>
    <m/>
  </r>
  <r>
    <x v="1"/>
    <s v="perception"/>
    <x v="2"/>
    <n v="2025"/>
    <n v="3"/>
    <m/>
    <m/>
    <s v="2"/>
    <m/>
    <n v="0"/>
    <m/>
    <m/>
    <n v="3"/>
    <m/>
    <m/>
    <m/>
    <m/>
  </r>
  <r>
    <x v="1"/>
    <s v="performance"/>
    <x v="1"/>
    <n v="2025"/>
    <n v="4"/>
    <s v="BAR_SECOND_HIGHEST"/>
    <s v="Race/Color"/>
    <s v="Race/Color"/>
    <b v="1"/>
    <n v="1"/>
    <n v="5.4785490036010742"/>
    <b v="0"/>
    <m/>
    <m/>
    <m/>
    <m/>
    <m/>
  </r>
  <r>
    <x v="1"/>
    <s v="performance"/>
    <x v="1"/>
    <n v="2025"/>
    <n v="5"/>
    <s v="BAR_NUM25"/>
    <s v="Ethnicity/National Origin/Ancestry"/>
    <s v="Ethnicity/National Origin/Ancestry"/>
    <b v="1"/>
    <n v="1"/>
    <n v="9.0338339805603027"/>
    <b v="0"/>
    <m/>
    <m/>
    <m/>
    <m/>
    <m/>
  </r>
  <r>
    <x v="1"/>
    <s v="perception"/>
    <x v="1"/>
    <n v="2025"/>
    <n v="6"/>
    <m/>
    <m/>
    <s v="5"/>
    <m/>
    <n v="0"/>
    <m/>
    <m/>
    <m/>
    <n v="5"/>
    <m/>
    <m/>
    <m/>
  </r>
  <r>
    <x v="1"/>
    <s v="performance"/>
    <x v="0"/>
    <n v="2025"/>
    <n v="7"/>
    <s v="TREEMAP_SECOND_LOWEST"/>
    <s v="Gender"/>
    <s v="Gender"/>
    <b v="1"/>
    <n v="1"/>
    <n v="6.4069480895996094"/>
    <b v="0"/>
    <m/>
    <m/>
    <m/>
    <m/>
    <m/>
  </r>
  <r>
    <x v="1"/>
    <s v="performance"/>
    <x v="0"/>
    <n v="2025"/>
    <n v="8"/>
    <s v="TREEMAP_CLOSE_PAIR"/>
    <s v="Gender &amp; Age"/>
    <s v="Gender &amp; Age"/>
    <b v="1"/>
    <n v="1"/>
    <n v="14.84477591514587"/>
    <b v="0"/>
    <m/>
    <m/>
    <m/>
    <m/>
    <m/>
  </r>
  <r>
    <x v="1"/>
    <s v="perception"/>
    <x v="0"/>
    <n v="2025"/>
    <n v="9"/>
    <m/>
    <m/>
    <s v="3"/>
    <m/>
    <n v="0"/>
    <m/>
    <m/>
    <m/>
    <m/>
    <n v="2"/>
    <m/>
    <m/>
  </r>
  <r>
    <x v="1"/>
    <s v="performance"/>
    <x v="3"/>
    <n v="2025"/>
    <n v="10"/>
    <s v="LINE_HIGH_SPIKE"/>
    <s v="Religion/Religious Practice"/>
    <s v="Religion/Religious Practice"/>
    <b v="1"/>
    <n v="1"/>
    <n v="12.448951959609991"/>
    <b v="0"/>
    <m/>
    <m/>
    <m/>
    <m/>
    <m/>
  </r>
  <r>
    <x v="1"/>
    <s v="performance"/>
    <x v="3"/>
    <n v="2025"/>
    <n v="11"/>
    <s v="LINE_CLOSE_TO_HIGHEST"/>
    <s v="Race/Color"/>
    <s v="Race/Color"/>
    <b v="1"/>
    <n v="1"/>
    <n v="5.4462041854858398"/>
    <b v="0"/>
    <m/>
    <m/>
    <m/>
    <m/>
    <m/>
  </r>
  <r>
    <x v="1"/>
    <s v="perception"/>
    <x v="3"/>
    <n v="2025"/>
    <n v="12"/>
    <m/>
    <m/>
    <s v="5"/>
    <m/>
    <n v="0"/>
    <m/>
    <m/>
    <m/>
    <m/>
    <m/>
    <n v="5"/>
    <m/>
  </r>
  <r>
    <x v="1"/>
    <s v="preference"/>
    <x v="3"/>
    <n v="2025"/>
    <m/>
    <m/>
    <m/>
    <s v="Line Graph"/>
    <m/>
    <n v="0"/>
    <m/>
    <m/>
    <m/>
    <m/>
    <m/>
    <m/>
    <s v="Line Graph"/>
  </r>
  <r>
    <x v="2"/>
    <s v="performance"/>
    <x v="3"/>
    <n v="2025"/>
    <n v="1"/>
    <s v="LINE_HIGH_SPIKE"/>
    <s v="Religion/Religious Practice"/>
    <s v="Religion/Religious Practice"/>
    <b v="1"/>
    <n v="1"/>
    <n v="12.978147983551031"/>
    <b v="0"/>
    <m/>
    <m/>
    <m/>
    <m/>
    <m/>
  </r>
  <r>
    <x v="2"/>
    <s v="performance"/>
    <x v="3"/>
    <n v="2025"/>
    <n v="2"/>
    <s v="LINE_CLOSE_TO_HIGHEST"/>
    <s v="Race/Color"/>
    <s v="Race/Color"/>
    <b v="1"/>
    <n v="1"/>
    <n v="5.5616681575775146"/>
    <b v="0"/>
    <m/>
    <m/>
    <m/>
    <m/>
    <m/>
  </r>
  <r>
    <x v="2"/>
    <s v="perception"/>
    <x v="3"/>
    <n v="2025"/>
    <n v="3"/>
    <m/>
    <m/>
    <s v="5"/>
    <m/>
    <n v="0"/>
    <m/>
    <m/>
    <n v="3"/>
    <m/>
    <m/>
    <m/>
    <m/>
  </r>
  <r>
    <x v="2"/>
    <s v="performance"/>
    <x v="0"/>
    <n v="2025"/>
    <n v="4"/>
    <s v="TREEMAP_SECOND_LOWEST"/>
    <s v="Gender"/>
    <s v="Religion/Religious Practice"/>
    <b v="0"/>
    <n v="0"/>
    <n v="3.5911440849304199"/>
    <b v="0"/>
    <m/>
    <m/>
    <m/>
    <m/>
    <m/>
  </r>
  <r>
    <x v="2"/>
    <s v="performance"/>
    <x v="0"/>
    <n v="2025"/>
    <n v="5"/>
    <s v="TREEMAP_CLOSE_PAIR"/>
    <s v="Gender &amp; Age"/>
    <m/>
    <b v="0"/>
    <n v="0"/>
    <n v="15"/>
    <b v="1"/>
    <m/>
    <m/>
    <m/>
    <m/>
    <m/>
  </r>
  <r>
    <x v="2"/>
    <s v="perception"/>
    <x v="0"/>
    <n v="2025"/>
    <n v="6"/>
    <m/>
    <m/>
    <s v="3"/>
    <m/>
    <n v="0"/>
    <m/>
    <m/>
    <m/>
    <n v="4"/>
    <m/>
    <m/>
    <m/>
  </r>
  <r>
    <x v="2"/>
    <s v="performance"/>
    <x v="2"/>
    <n v="2025"/>
    <n v="7"/>
    <s v="STACK_LOWEST"/>
    <s v="Age"/>
    <s v="Age"/>
    <b v="1"/>
    <n v="1"/>
    <n v="6.2797470092773438"/>
    <b v="0"/>
    <m/>
    <m/>
    <m/>
    <m/>
    <m/>
  </r>
  <r>
    <x v="2"/>
    <s v="performance"/>
    <x v="2"/>
    <n v="2025"/>
    <n v="8"/>
    <s v="STACK_NUM58"/>
    <s v="58"/>
    <m/>
    <b v="0"/>
    <n v="0"/>
    <n v="15"/>
    <b v="1"/>
    <m/>
    <m/>
    <m/>
    <m/>
    <m/>
  </r>
  <r>
    <x v="2"/>
    <s v="perception"/>
    <x v="2"/>
    <n v="2025"/>
    <n v="9"/>
    <m/>
    <m/>
    <s v="3"/>
    <m/>
    <n v="0"/>
    <m/>
    <m/>
    <m/>
    <m/>
    <n v="3"/>
    <m/>
    <m/>
  </r>
  <r>
    <x v="2"/>
    <s v="performance"/>
    <x v="1"/>
    <n v="2025"/>
    <n v="10"/>
    <s v="BAR_SECOND_HIGHEST"/>
    <s v="Race/Color"/>
    <s v="Race/Color"/>
    <b v="1"/>
    <n v="1"/>
    <n v="5.1482369899749756"/>
    <b v="0"/>
    <m/>
    <m/>
    <m/>
    <m/>
    <m/>
  </r>
  <r>
    <x v="2"/>
    <s v="performance"/>
    <x v="1"/>
    <n v="2025"/>
    <n v="11"/>
    <s v="BAR_NUM25"/>
    <s v="Ethnicity/National Origin/Ancestry"/>
    <s v="Ethnicity/National Origin/Ancestry"/>
    <b v="1"/>
    <n v="1"/>
    <n v="8.6839709281921387"/>
    <b v="0"/>
    <m/>
    <m/>
    <m/>
    <m/>
    <m/>
  </r>
  <r>
    <x v="2"/>
    <s v="perception"/>
    <x v="1"/>
    <n v="2025"/>
    <n v="12"/>
    <m/>
    <m/>
    <s v="4"/>
    <m/>
    <n v="0"/>
    <m/>
    <m/>
    <m/>
    <m/>
    <m/>
    <n v="5"/>
    <m/>
  </r>
  <r>
    <x v="2"/>
    <s v="preference"/>
    <x v="3"/>
    <n v="2025"/>
    <m/>
    <m/>
    <m/>
    <s v="Line Graph"/>
    <m/>
    <n v="0"/>
    <m/>
    <m/>
    <m/>
    <m/>
    <m/>
    <m/>
    <s v="Line Graph"/>
  </r>
  <r>
    <x v="3"/>
    <s v="performance"/>
    <x v="3"/>
    <n v="2025"/>
    <n v="1"/>
    <s v="LINE_HIGH_SPIKE"/>
    <s v="Religion/Religious Practice"/>
    <s v="Religion/Religious Practice"/>
    <b v="1"/>
    <n v="1"/>
    <n v="7.3728668689727783"/>
    <b v="0"/>
    <m/>
    <m/>
    <m/>
    <m/>
    <m/>
  </r>
  <r>
    <x v="3"/>
    <s v="performance"/>
    <x v="3"/>
    <n v="2025"/>
    <n v="2"/>
    <s v="LINE_CLOSE_TO_HIGHEST"/>
    <s v="Race/Color"/>
    <s v="Race/Color"/>
    <b v="1"/>
    <n v="1"/>
    <n v="7.7692198753356934"/>
    <b v="0"/>
    <m/>
    <m/>
    <m/>
    <m/>
    <m/>
  </r>
  <r>
    <x v="3"/>
    <s v="perception"/>
    <x v="3"/>
    <n v="2025"/>
    <n v="3"/>
    <m/>
    <m/>
    <s v="5"/>
    <m/>
    <n v="0"/>
    <m/>
    <m/>
    <n v="5"/>
    <m/>
    <m/>
    <m/>
    <m/>
  </r>
  <r>
    <x v="3"/>
    <s v="performance"/>
    <x v="0"/>
    <n v="2025"/>
    <n v="4"/>
    <s v="TREEMAP_SECOND_LOWEST"/>
    <s v="Gender"/>
    <s v="Gender"/>
    <b v="1"/>
    <n v="1"/>
    <n v="6.6838679313659668"/>
    <b v="0"/>
    <m/>
    <m/>
    <m/>
    <m/>
    <m/>
  </r>
  <r>
    <x v="3"/>
    <s v="performance"/>
    <x v="0"/>
    <n v="2025"/>
    <n v="5"/>
    <s v="TREEMAP_CLOSE_PAIR"/>
    <s v="Gender &amp; Age"/>
    <m/>
    <b v="0"/>
    <n v="0"/>
    <n v="15"/>
    <b v="1"/>
    <m/>
    <m/>
    <m/>
    <m/>
    <m/>
  </r>
  <r>
    <x v="3"/>
    <s v="perception"/>
    <x v="0"/>
    <n v="2025"/>
    <n v="6"/>
    <m/>
    <m/>
    <s v="5"/>
    <m/>
    <n v="0"/>
    <m/>
    <m/>
    <m/>
    <n v="5"/>
    <m/>
    <m/>
    <m/>
  </r>
  <r>
    <x v="3"/>
    <s v="performance"/>
    <x v="1"/>
    <n v="2025"/>
    <n v="7"/>
    <s v="BAR_SECOND_HIGHEST"/>
    <s v="Race/Color"/>
    <s v="Race/Color"/>
    <b v="1"/>
    <n v="1"/>
    <n v="6.2096178531646729"/>
    <b v="0"/>
    <m/>
    <m/>
    <m/>
    <m/>
    <m/>
  </r>
  <r>
    <x v="3"/>
    <s v="performance"/>
    <x v="1"/>
    <n v="2025"/>
    <n v="8"/>
    <s v="BAR_NUM25"/>
    <s v="Ethnicity/National Origin/Ancestry"/>
    <s v="Ethnicity/National Origin/Ancestry"/>
    <b v="1"/>
    <n v="1"/>
    <n v="8.982050895690918"/>
    <b v="0"/>
    <m/>
    <m/>
    <m/>
    <m/>
    <m/>
  </r>
  <r>
    <x v="3"/>
    <s v="perception"/>
    <x v="1"/>
    <n v="2025"/>
    <n v="9"/>
    <m/>
    <m/>
    <s v="5"/>
    <m/>
    <n v="0"/>
    <m/>
    <m/>
    <m/>
    <m/>
    <n v="3"/>
    <m/>
    <m/>
  </r>
  <r>
    <x v="3"/>
    <s v="performance"/>
    <x v="2"/>
    <n v="2025"/>
    <n v="10"/>
    <s v="STACK_LOWEST"/>
    <s v="Age"/>
    <s v="Age"/>
    <b v="1"/>
    <n v="1"/>
    <n v="3.929238080978394"/>
    <b v="0"/>
    <m/>
    <m/>
    <m/>
    <m/>
    <m/>
  </r>
  <r>
    <x v="3"/>
    <s v="performance"/>
    <x v="2"/>
    <n v="2025"/>
    <n v="11"/>
    <s v="STACK_NUM58"/>
    <s v="58"/>
    <m/>
    <b v="0"/>
    <n v="0"/>
    <n v="15"/>
    <b v="1"/>
    <m/>
    <m/>
    <m/>
    <m/>
    <m/>
  </r>
  <r>
    <x v="3"/>
    <s v="perception"/>
    <x v="2"/>
    <n v="2025"/>
    <n v="12"/>
    <m/>
    <m/>
    <s v="3"/>
    <m/>
    <n v="0"/>
    <m/>
    <m/>
    <m/>
    <m/>
    <m/>
    <n v="5"/>
    <m/>
  </r>
  <r>
    <x v="3"/>
    <s v="preference"/>
    <x v="1"/>
    <n v="2025"/>
    <m/>
    <m/>
    <m/>
    <s v="Bar Chart"/>
    <m/>
    <n v="0"/>
    <m/>
    <m/>
    <m/>
    <m/>
    <m/>
    <m/>
    <s v="Bar Chart"/>
  </r>
  <r>
    <x v="4"/>
    <s v="performance"/>
    <x v="0"/>
    <n v="2025"/>
    <n v="1"/>
    <s v="TREEMAP_SECOND_LOWEST"/>
    <s v="Gender"/>
    <s v="Gender"/>
    <b v="1"/>
    <n v="1"/>
    <n v="5.4196219444274902"/>
    <b v="0"/>
    <m/>
    <m/>
    <m/>
    <m/>
    <m/>
  </r>
  <r>
    <x v="4"/>
    <s v="performance"/>
    <x v="0"/>
    <n v="2025"/>
    <n v="2"/>
    <s v="TREEMAP_CLOSE_PAIR"/>
    <s v="Gender &amp; Age"/>
    <m/>
    <b v="0"/>
    <n v="0"/>
    <n v="15"/>
    <b v="1"/>
    <m/>
    <m/>
    <m/>
    <m/>
    <m/>
  </r>
  <r>
    <x v="4"/>
    <s v="perception"/>
    <x v="0"/>
    <n v="2025"/>
    <n v="3"/>
    <m/>
    <m/>
    <s v="5"/>
    <m/>
    <n v="0"/>
    <m/>
    <m/>
    <n v="5"/>
    <m/>
    <m/>
    <m/>
    <m/>
  </r>
  <r>
    <x v="4"/>
    <s v="performance"/>
    <x v="2"/>
    <n v="2025"/>
    <n v="4"/>
    <s v="STACK_LOWEST"/>
    <s v="Age"/>
    <s v="Age"/>
    <b v="1"/>
    <n v="1"/>
    <n v="3.2413311004638672"/>
    <b v="0"/>
    <m/>
    <m/>
    <m/>
    <m/>
    <m/>
  </r>
  <r>
    <x v="4"/>
    <s v="performance"/>
    <x v="2"/>
    <n v="2025"/>
    <n v="5"/>
    <s v="STACK_NUM58"/>
    <s v="58"/>
    <m/>
    <b v="0"/>
    <n v="0"/>
    <n v="15"/>
    <b v="1"/>
    <m/>
    <m/>
    <m/>
    <m/>
    <m/>
  </r>
  <r>
    <x v="4"/>
    <s v="perception"/>
    <x v="2"/>
    <n v="2025"/>
    <n v="6"/>
    <m/>
    <m/>
    <s v="2"/>
    <m/>
    <n v="0"/>
    <m/>
    <m/>
    <m/>
    <n v="5"/>
    <m/>
    <m/>
    <m/>
  </r>
  <r>
    <x v="4"/>
    <s v="performance"/>
    <x v="1"/>
    <n v="2025"/>
    <n v="7"/>
    <s v="BAR_SECOND_HIGHEST"/>
    <s v="Race/Color"/>
    <s v="Race/Color"/>
    <b v="1"/>
    <n v="1"/>
    <n v="6.3015718460083008"/>
    <b v="0"/>
    <m/>
    <m/>
    <m/>
    <m/>
    <m/>
  </r>
  <r>
    <x v="4"/>
    <s v="performance"/>
    <x v="1"/>
    <n v="2025"/>
    <n v="8"/>
    <s v="BAR_NUM25"/>
    <s v="Ethnicity/National Origin/Ancestry"/>
    <s v="Ethnicity/National Origin/Ancestry"/>
    <b v="1"/>
    <n v="1"/>
    <n v="9.872859001159668"/>
    <b v="0"/>
    <m/>
    <m/>
    <m/>
    <m/>
    <m/>
  </r>
  <r>
    <x v="4"/>
    <s v="perception"/>
    <x v="1"/>
    <n v="2025"/>
    <n v="9"/>
    <m/>
    <m/>
    <s v="5"/>
    <m/>
    <n v="0"/>
    <m/>
    <m/>
    <m/>
    <m/>
    <n v="2"/>
    <m/>
    <m/>
  </r>
  <r>
    <x v="4"/>
    <s v="performance"/>
    <x v="3"/>
    <n v="2025"/>
    <n v="10"/>
    <s v="LINE_HIGH_SPIKE"/>
    <s v="Religion/Religious Practice"/>
    <s v="Religion/Religious Practice"/>
    <b v="1"/>
    <n v="1"/>
    <n v="4.7881569862365723"/>
    <b v="0"/>
    <m/>
    <m/>
    <m/>
    <m/>
    <m/>
  </r>
  <r>
    <x v="4"/>
    <s v="performance"/>
    <x v="3"/>
    <n v="2025"/>
    <n v="11"/>
    <s v="LINE_CLOSE_TO_HIGHEST"/>
    <s v="Race/Color"/>
    <s v="Race/Color"/>
    <b v="1"/>
    <n v="1"/>
    <n v="4.4397068023681641"/>
    <b v="0"/>
    <m/>
    <m/>
    <m/>
    <m/>
    <m/>
  </r>
  <r>
    <x v="4"/>
    <s v="perception"/>
    <x v="3"/>
    <n v="2025"/>
    <n v="12"/>
    <m/>
    <m/>
    <s v="5"/>
    <m/>
    <n v="0"/>
    <m/>
    <m/>
    <m/>
    <m/>
    <m/>
    <n v="5"/>
    <m/>
  </r>
  <r>
    <x v="4"/>
    <s v="preference"/>
    <x v="3"/>
    <n v="2025"/>
    <m/>
    <m/>
    <m/>
    <s v="Line Graph"/>
    <m/>
    <n v="0"/>
    <m/>
    <m/>
    <m/>
    <m/>
    <m/>
    <m/>
    <s v="Line Graph"/>
  </r>
  <r>
    <x v="5"/>
    <s v="performance"/>
    <x v="1"/>
    <n v="2025"/>
    <n v="1"/>
    <s v="BAR_SECOND_HIGHEST"/>
    <s v="Race/Color"/>
    <s v="Race/Color"/>
    <b v="1"/>
    <n v="1"/>
    <n v="5.7301521301269531"/>
    <b v="0"/>
    <m/>
    <m/>
    <m/>
    <m/>
    <m/>
  </r>
  <r>
    <x v="5"/>
    <s v="performance"/>
    <x v="1"/>
    <n v="2025"/>
    <n v="2"/>
    <s v="BAR_NUM25"/>
    <s v="Ethnicity/National Origin/Ancestry"/>
    <s v="Ethnicity/National Origin/Ancestry"/>
    <b v="1"/>
    <n v="1"/>
    <n v="6.9513518810272217"/>
    <b v="0"/>
    <m/>
    <m/>
    <m/>
    <m/>
    <m/>
  </r>
  <r>
    <x v="5"/>
    <s v="perception"/>
    <x v="1"/>
    <n v="2025"/>
    <n v="3"/>
    <m/>
    <m/>
    <s v="4"/>
    <m/>
    <n v="0"/>
    <m/>
    <m/>
    <n v="3"/>
    <m/>
    <m/>
    <m/>
    <m/>
  </r>
  <r>
    <x v="5"/>
    <s v="performance"/>
    <x v="0"/>
    <n v="2025"/>
    <n v="4"/>
    <s v="TREEMAP_SECOND_LOWEST"/>
    <s v="Gender"/>
    <s v="Gender"/>
    <b v="1"/>
    <n v="1"/>
    <n v="8.0262391567230225"/>
    <b v="0"/>
    <m/>
    <m/>
    <m/>
    <m/>
    <m/>
  </r>
  <r>
    <x v="5"/>
    <s v="performance"/>
    <x v="0"/>
    <n v="2025"/>
    <n v="5"/>
    <s v="TREEMAP_CLOSE_PAIR"/>
    <s v="Gender &amp; Age"/>
    <m/>
    <b v="0"/>
    <n v="0"/>
    <n v="15"/>
    <b v="1"/>
    <m/>
    <m/>
    <m/>
    <m/>
    <m/>
  </r>
  <r>
    <x v="5"/>
    <s v="perception"/>
    <x v="0"/>
    <n v="2025"/>
    <n v="6"/>
    <m/>
    <m/>
    <s v="3"/>
    <m/>
    <n v="0"/>
    <m/>
    <m/>
    <m/>
    <n v="4"/>
    <m/>
    <m/>
    <m/>
  </r>
  <r>
    <x v="5"/>
    <s v="performance"/>
    <x v="2"/>
    <n v="2025"/>
    <n v="7"/>
    <s v="STACK_LOWEST"/>
    <s v="Age"/>
    <s v="Age"/>
    <b v="1"/>
    <n v="1"/>
    <n v="4.49155592918396"/>
    <b v="0"/>
    <m/>
    <m/>
    <m/>
    <m/>
    <m/>
  </r>
  <r>
    <x v="5"/>
    <s v="performance"/>
    <x v="2"/>
    <n v="2025"/>
    <n v="8"/>
    <s v="STACK_NUM58"/>
    <s v="58"/>
    <s v="39"/>
    <b v="0"/>
    <n v="0"/>
    <n v="6.5223038196563721"/>
    <b v="0"/>
    <m/>
    <m/>
    <m/>
    <m/>
    <m/>
  </r>
  <r>
    <x v="5"/>
    <s v="perception"/>
    <x v="2"/>
    <n v="2025"/>
    <n v="9"/>
    <m/>
    <m/>
    <s v="3"/>
    <m/>
    <n v="0"/>
    <m/>
    <m/>
    <m/>
    <m/>
    <n v="3"/>
    <m/>
    <m/>
  </r>
  <r>
    <x v="5"/>
    <s v="performance"/>
    <x v="3"/>
    <n v="2025"/>
    <n v="10"/>
    <s v="LINE_HIGH_SPIKE"/>
    <s v="Religion/Religious Practice"/>
    <s v="Religion/Religious Practice"/>
    <b v="1"/>
    <n v="1"/>
    <n v="5.3899269104003906"/>
    <b v="0"/>
    <m/>
    <m/>
    <m/>
    <m/>
    <m/>
  </r>
  <r>
    <x v="5"/>
    <s v="performance"/>
    <x v="3"/>
    <n v="2025"/>
    <n v="11"/>
    <s v="LINE_CLOSE_TO_HIGHEST"/>
    <s v="Race/Color"/>
    <s v="Religion/Religious Practice"/>
    <b v="0"/>
    <n v="0"/>
    <n v="9.2904918193817139"/>
    <b v="0"/>
    <m/>
    <m/>
    <m/>
    <m/>
    <m/>
  </r>
  <r>
    <x v="5"/>
    <s v="perception"/>
    <x v="3"/>
    <n v="2025"/>
    <n v="12"/>
    <m/>
    <m/>
    <s v="5"/>
    <m/>
    <n v="0"/>
    <m/>
    <m/>
    <m/>
    <m/>
    <m/>
    <n v="5"/>
    <m/>
  </r>
  <r>
    <x v="5"/>
    <s v="preference"/>
    <x v="3"/>
    <n v="2025"/>
    <m/>
    <m/>
    <m/>
    <s v="Line Graph"/>
    <m/>
    <n v="0"/>
    <m/>
    <m/>
    <m/>
    <m/>
    <m/>
    <m/>
    <s v="Line Graph"/>
  </r>
  <r>
    <x v="6"/>
    <s v="performance"/>
    <x v="1"/>
    <n v="2025"/>
    <n v="1"/>
    <s v="BAR_SECOND_HIGHEST"/>
    <s v="Race/Color"/>
    <s v="Race/Color"/>
    <b v="1"/>
    <n v="1"/>
    <n v="7.9715709686279297"/>
    <b v="0"/>
    <m/>
    <m/>
    <m/>
    <m/>
    <m/>
  </r>
  <r>
    <x v="6"/>
    <s v="performance"/>
    <x v="1"/>
    <n v="2025"/>
    <n v="2"/>
    <s v="BAR_NUM25"/>
    <s v="Ethnicity/National Origin/Ancestry"/>
    <s v="Ethnicity/National Origin/Ancestry"/>
    <b v="1"/>
    <n v="1"/>
    <n v="10.62656998634338"/>
    <b v="0"/>
    <m/>
    <m/>
    <m/>
    <m/>
    <m/>
  </r>
  <r>
    <x v="6"/>
    <s v="perception"/>
    <x v="1"/>
    <n v="2025"/>
    <n v="3"/>
    <m/>
    <m/>
    <s v="5"/>
    <m/>
    <n v="0"/>
    <m/>
    <m/>
    <n v="5"/>
    <m/>
    <m/>
    <m/>
    <m/>
  </r>
  <r>
    <x v="6"/>
    <s v="performance"/>
    <x v="3"/>
    <n v="2025"/>
    <n v="4"/>
    <s v="LINE_HIGH_SPIKE"/>
    <s v="Religion/Religious Practice"/>
    <s v="Religion/Religious Practice"/>
    <b v="1"/>
    <n v="1"/>
    <n v="14.240607023239139"/>
    <b v="0"/>
    <m/>
    <m/>
    <m/>
    <m/>
    <m/>
  </r>
  <r>
    <x v="6"/>
    <s v="performance"/>
    <x v="3"/>
    <n v="2025"/>
    <n v="5"/>
    <s v="LINE_CLOSE_TO_HIGHEST"/>
    <s v="Race/Color"/>
    <s v="Race/Color"/>
    <b v="1"/>
    <n v="1"/>
    <n v="5.610152006149292"/>
    <b v="0"/>
    <m/>
    <m/>
    <m/>
    <m/>
    <m/>
  </r>
  <r>
    <x v="6"/>
    <s v="perception"/>
    <x v="3"/>
    <n v="2025"/>
    <n v="6"/>
    <m/>
    <m/>
    <s v="3"/>
    <m/>
    <n v="0"/>
    <m/>
    <m/>
    <m/>
    <n v="5"/>
    <m/>
    <m/>
    <m/>
  </r>
  <r>
    <x v="6"/>
    <s v="performance"/>
    <x v="0"/>
    <n v="2025"/>
    <n v="7"/>
    <s v="TREEMAP_SECOND_LOWEST"/>
    <s v="Gender"/>
    <s v="Gender"/>
    <b v="1"/>
    <n v="1"/>
    <n v="5.8371920585632324"/>
    <b v="0"/>
    <m/>
    <m/>
    <m/>
    <m/>
    <m/>
  </r>
  <r>
    <x v="6"/>
    <s v="performance"/>
    <x v="0"/>
    <n v="2025"/>
    <n v="8"/>
    <s v="TREEMAP_CLOSE_PAIR"/>
    <s v="Gender &amp; Age"/>
    <m/>
    <b v="0"/>
    <n v="0"/>
    <n v="15"/>
    <b v="1"/>
    <m/>
    <m/>
    <m/>
    <m/>
    <m/>
  </r>
  <r>
    <x v="6"/>
    <s v="perception"/>
    <x v="0"/>
    <n v="2025"/>
    <n v="9"/>
    <m/>
    <m/>
    <s v="5"/>
    <m/>
    <n v="0"/>
    <m/>
    <m/>
    <m/>
    <m/>
    <n v="3"/>
    <m/>
    <m/>
  </r>
  <r>
    <x v="6"/>
    <s v="performance"/>
    <x v="2"/>
    <n v="2025"/>
    <n v="10"/>
    <s v="STACK_LOWEST"/>
    <s v="Age"/>
    <s v="Age"/>
    <b v="1"/>
    <n v="1"/>
    <n v="6.043522834777832"/>
    <b v="0"/>
    <m/>
    <m/>
    <m/>
    <m/>
    <m/>
  </r>
  <r>
    <x v="6"/>
    <s v="performance"/>
    <x v="2"/>
    <n v="2025"/>
    <n v="11"/>
    <s v="STACK_NUM58"/>
    <s v="58"/>
    <m/>
    <b v="0"/>
    <n v="0"/>
    <n v="15"/>
    <b v="1"/>
    <m/>
    <m/>
    <m/>
    <m/>
    <m/>
  </r>
  <r>
    <x v="6"/>
    <s v="perception"/>
    <x v="2"/>
    <n v="2025"/>
    <n v="12"/>
    <m/>
    <m/>
    <s v="3"/>
    <m/>
    <n v="0"/>
    <m/>
    <m/>
    <m/>
    <m/>
    <m/>
    <n v="3"/>
    <m/>
  </r>
  <r>
    <x v="6"/>
    <s v="preference"/>
    <x v="0"/>
    <n v="2025"/>
    <m/>
    <m/>
    <m/>
    <s v="Tree Map"/>
    <m/>
    <n v="0"/>
    <m/>
    <m/>
    <m/>
    <m/>
    <m/>
    <m/>
    <s v="Tree Map"/>
  </r>
  <r>
    <x v="7"/>
    <s v="performance"/>
    <x v="1"/>
    <n v="2025"/>
    <n v="1"/>
    <s v="BAR_SECOND_HIGHEST"/>
    <s v="Race/Color"/>
    <s v="Race/Color"/>
    <b v="1"/>
    <n v="1"/>
    <n v="13.349043846130369"/>
    <b v="0"/>
    <m/>
    <m/>
    <m/>
    <m/>
    <m/>
  </r>
  <r>
    <x v="7"/>
    <s v="performance"/>
    <x v="1"/>
    <n v="2025"/>
    <n v="2"/>
    <s v="BAR_NUM25"/>
    <s v="Ethnicity/National Origin/Ancestry"/>
    <s v="Ethnicity/National Origin/Ancestry"/>
    <b v="1"/>
    <n v="1"/>
    <n v="14.583165884017941"/>
    <b v="0"/>
    <m/>
    <m/>
    <m/>
    <m/>
    <m/>
  </r>
  <r>
    <x v="7"/>
    <s v="perception"/>
    <x v="1"/>
    <n v="2025"/>
    <n v="3"/>
    <m/>
    <m/>
    <s v="5"/>
    <m/>
    <n v="0"/>
    <m/>
    <m/>
    <n v="5"/>
    <m/>
    <m/>
    <m/>
    <m/>
  </r>
  <r>
    <x v="7"/>
    <s v="performance"/>
    <x v="0"/>
    <n v="2025"/>
    <n v="4"/>
    <s v="TREEMAP_SECOND_LOWEST"/>
    <s v="Gender"/>
    <s v="Gender"/>
    <b v="1"/>
    <n v="1"/>
    <n v="8.3173148632049561"/>
    <b v="0"/>
    <m/>
    <m/>
    <m/>
    <m/>
    <m/>
  </r>
  <r>
    <x v="7"/>
    <s v="performance"/>
    <x v="0"/>
    <n v="2025"/>
    <n v="5"/>
    <s v="TREEMAP_CLOSE_PAIR"/>
    <s v="Gender &amp; Age"/>
    <m/>
    <b v="0"/>
    <n v="0"/>
    <n v="15"/>
    <b v="1"/>
    <m/>
    <m/>
    <m/>
    <m/>
    <m/>
  </r>
  <r>
    <x v="7"/>
    <s v="perception"/>
    <x v="0"/>
    <n v="2025"/>
    <n v="6"/>
    <m/>
    <m/>
    <s v="5"/>
    <m/>
    <n v="0"/>
    <m/>
    <m/>
    <m/>
    <n v="5"/>
    <m/>
    <m/>
    <m/>
  </r>
  <r>
    <x v="7"/>
    <s v="performance"/>
    <x v="3"/>
    <n v="2025"/>
    <n v="7"/>
    <s v="LINE_HIGH_SPIKE"/>
    <s v="Religion/Religious Practice"/>
    <m/>
    <b v="0"/>
    <n v="0"/>
    <n v="15"/>
    <b v="1"/>
    <m/>
    <m/>
    <m/>
    <m/>
    <m/>
  </r>
  <r>
    <x v="7"/>
    <s v="performance"/>
    <x v="3"/>
    <n v="2025"/>
    <n v="8"/>
    <s v="LINE_CLOSE_TO_HIGHEST"/>
    <s v="Race/Color"/>
    <s v="Religion/Religious Practice"/>
    <b v="0"/>
    <n v="0"/>
    <n v="1.4765539169311519"/>
    <b v="0"/>
    <m/>
    <m/>
    <m/>
    <m/>
    <m/>
  </r>
  <r>
    <x v="7"/>
    <s v="perception"/>
    <x v="3"/>
    <n v="2025"/>
    <n v="9"/>
    <m/>
    <m/>
    <s v="5"/>
    <m/>
    <n v="0"/>
    <m/>
    <m/>
    <m/>
    <m/>
    <n v="3"/>
    <m/>
    <m/>
  </r>
  <r>
    <x v="7"/>
    <s v="performance"/>
    <x v="2"/>
    <n v="2025"/>
    <n v="10"/>
    <s v="STACK_LOWEST"/>
    <s v="Age"/>
    <s v="Age"/>
    <b v="1"/>
    <n v="1"/>
    <n v="7.8370978832244873"/>
    <b v="0"/>
    <m/>
    <m/>
    <m/>
    <m/>
    <m/>
  </r>
  <r>
    <x v="7"/>
    <s v="performance"/>
    <x v="2"/>
    <n v="2025"/>
    <n v="11"/>
    <s v="STACK_NUM58"/>
    <s v="58"/>
    <m/>
    <b v="0"/>
    <n v="0"/>
    <n v="15"/>
    <b v="1"/>
    <m/>
    <m/>
    <m/>
    <m/>
    <m/>
  </r>
  <r>
    <x v="7"/>
    <s v="perception"/>
    <x v="2"/>
    <n v="2025"/>
    <n v="12"/>
    <m/>
    <m/>
    <s v="3"/>
    <m/>
    <n v="0"/>
    <m/>
    <m/>
    <m/>
    <m/>
    <m/>
    <n v="5"/>
    <m/>
  </r>
  <r>
    <x v="7"/>
    <s v="preference"/>
    <x v="3"/>
    <n v="2025"/>
    <m/>
    <m/>
    <m/>
    <s v="Line Graph"/>
    <m/>
    <n v="0"/>
    <m/>
    <m/>
    <m/>
    <m/>
    <m/>
    <m/>
    <s v="Line Graph"/>
  </r>
  <r>
    <x v="8"/>
    <s v="performance"/>
    <x v="2"/>
    <n v="2025"/>
    <n v="1"/>
    <s v="STACK_LOWEST"/>
    <s v="Age"/>
    <s v="Age"/>
    <b v="1"/>
    <n v="1"/>
    <n v="3.6306180953979492"/>
    <b v="0"/>
    <m/>
    <m/>
    <m/>
    <m/>
    <m/>
  </r>
  <r>
    <x v="8"/>
    <s v="performance"/>
    <x v="2"/>
    <n v="2025"/>
    <n v="2"/>
    <s v="STACK_NUM58"/>
    <s v="58"/>
    <m/>
    <b v="0"/>
    <n v="0"/>
    <n v="15"/>
    <b v="1"/>
    <m/>
    <m/>
    <m/>
    <m/>
    <m/>
  </r>
  <r>
    <x v="8"/>
    <s v="perception"/>
    <x v="2"/>
    <n v="2025"/>
    <n v="3"/>
    <m/>
    <m/>
    <s v="5"/>
    <m/>
    <n v="0"/>
    <m/>
    <m/>
    <n v="3"/>
    <m/>
    <m/>
    <m/>
    <m/>
  </r>
  <r>
    <x v="8"/>
    <s v="performance"/>
    <x v="3"/>
    <n v="2025"/>
    <n v="4"/>
    <s v="LINE_HIGH_SPIKE"/>
    <s v="Religion/Religious Practice"/>
    <s v="Religion/Religious Practice"/>
    <b v="1"/>
    <n v="1"/>
    <n v="8.1934049129486084"/>
    <b v="0"/>
    <m/>
    <m/>
    <m/>
    <m/>
    <m/>
  </r>
  <r>
    <x v="8"/>
    <s v="performance"/>
    <x v="3"/>
    <n v="2025"/>
    <n v="5"/>
    <s v="LINE_CLOSE_TO_HIGHEST"/>
    <s v="Race/Color"/>
    <s v="Religion/Religious Practice"/>
    <b v="0"/>
    <n v="0"/>
    <n v="3.8888840675353999"/>
    <b v="0"/>
    <m/>
    <m/>
    <m/>
    <m/>
    <m/>
  </r>
  <r>
    <x v="8"/>
    <s v="perception"/>
    <x v="3"/>
    <n v="2025"/>
    <n v="6"/>
    <m/>
    <m/>
    <s v="4"/>
    <m/>
    <n v="0"/>
    <m/>
    <m/>
    <m/>
    <n v="5"/>
    <m/>
    <m/>
    <m/>
  </r>
  <r>
    <x v="8"/>
    <s v="performance"/>
    <x v="0"/>
    <n v="2025"/>
    <n v="7"/>
    <s v="TREEMAP_SECOND_LOWEST"/>
    <s v="Gender"/>
    <s v="Gender"/>
    <b v="1"/>
    <n v="1"/>
    <n v="3.9686579704284668"/>
    <b v="0"/>
    <m/>
    <m/>
    <m/>
    <m/>
    <m/>
  </r>
  <r>
    <x v="8"/>
    <s v="performance"/>
    <x v="0"/>
    <n v="2025"/>
    <n v="8"/>
    <s v="TREEMAP_CLOSE_PAIR"/>
    <s v="Gender &amp; Age"/>
    <s v="Religion/Religious Practice &amp; Sexual Orientation"/>
    <b v="0"/>
    <n v="0"/>
    <n v="11.50439882278442"/>
    <b v="0"/>
    <m/>
    <m/>
    <m/>
    <m/>
    <m/>
  </r>
  <r>
    <x v="8"/>
    <s v="perception"/>
    <x v="0"/>
    <n v="2025"/>
    <n v="9"/>
    <m/>
    <m/>
    <s v="3"/>
    <m/>
    <n v="0"/>
    <m/>
    <m/>
    <m/>
    <m/>
    <n v="5"/>
    <m/>
    <m/>
  </r>
  <r>
    <x v="8"/>
    <s v="performance"/>
    <x v="1"/>
    <n v="2025"/>
    <n v="10"/>
    <s v="BAR_SECOND_HIGHEST"/>
    <s v="Race/Color"/>
    <s v="Race/Color"/>
    <b v="1"/>
    <n v="1"/>
    <n v="3.9424829483032231"/>
    <b v="0"/>
    <m/>
    <m/>
    <m/>
    <m/>
    <m/>
  </r>
  <r>
    <x v="8"/>
    <s v="performance"/>
    <x v="1"/>
    <n v="2025"/>
    <n v="11"/>
    <s v="BAR_NUM25"/>
    <s v="Ethnicity/National Origin/Ancestry"/>
    <s v="Ethnicity/National Origin/Ancestry"/>
    <b v="1"/>
    <n v="1"/>
    <n v="4.7596800327301034"/>
    <b v="0"/>
    <m/>
    <m/>
    <m/>
    <m/>
    <m/>
  </r>
  <r>
    <x v="8"/>
    <s v="perception"/>
    <x v="1"/>
    <n v="2025"/>
    <n v="12"/>
    <m/>
    <m/>
    <s v="5"/>
    <m/>
    <n v="0"/>
    <m/>
    <m/>
    <m/>
    <m/>
    <m/>
    <n v="4"/>
    <m/>
  </r>
  <r>
    <x v="8"/>
    <s v="preference"/>
    <x v="3"/>
    <n v="2025"/>
    <m/>
    <m/>
    <m/>
    <s v="Line Graph"/>
    <m/>
    <n v="0"/>
    <m/>
    <m/>
    <m/>
    <m/>
    <m/>
    <m/>
    <s v="Line Graph"/>
  </r>
  <r>
    <x v="9"/>
    <s v="performance"/>
    <x v="0"/>
    <n v="2025"/>
    <n v="1"/>
    <s v="TREEMAP_SECOND_LOWEST"/>
    <s v="Gender"/>
    <s v="Gender"/>
    <b v="1"/>
    <n v="1"/>
    <n v="5.0859429836273193"/>
    <b v="0"/>
    <m/>
    <m/>
    <m/>
    <m/>
    <m/>
  </r>
  <r>
    <x v="9"/>
    <s v="performance"/>
    <x v="0"/>
    <n v="2025"/>
    <n v="2"/>
    <s v="TREEMAP_CLOSE_PAIR"/>
    <s v="Gender &amp; Age"/>
    <m/>
    <b v="0"/>
    <n v="0"/>
    <n v="15"/>
    <b v="1"/>
    <m/>
    <m/>
    <m/>
    <m/>
    <m/>
  </r>
  <r>
    <x v="9"/>
    <s v="perception"/>
    <x v="0"/>
    <n v="2025"/>
    <n v="3"/>
    <m/>
    <m/>
    <s v="3"/>
    <m/>
    <n v="0"/>
    <m/>
    <m/>
    <n v="3"/>
    <m/>
    <m/>
    <m/>
    <m/>
  </r>
  <r>
    <x v="9"/>
    <s v="performance"/>
    <x v="1"/>
    <n v="2025"/>
    <n v="4"/>
    <s v="BAR_SECOND_HIGHEST"/>
    <s v="Race/Color"/>
    <s v="Race/Color"/>
    <b v="1"/>
    <n v="1"/>
    <n v="4.6073980331420898"/>
    <b v="0"/>
    <m/>
    <m/>
    <m/>
    <m/>
    <m/>
  </r>
  <r>
    <x v="9"/>
    <s v="performance"/>
    <x v="1"/>
    <n v="2025"/>
    <n v="5"/>
    <s v="BAR_NUM25"/>
    <s v="Ethnicity/National Origin/Ancestry"/>
    <s v="Ethnicity/National Origin/Ancestry"/>
    <b v="1"/>
    <n v="1"/>
    <n v="7.5342390537261963"/>
    <b v="0"/>
    <m/>
    <m/>
    <m/>
    <m/>
    <m/>
  </r>
  <r>
    <x v="9"/>
    <s v="perception"/>
    <x v="1"/>
    <n v="2025"/>
    <n v="6"/>
    <m/>
    <m/>
    <s v="5"/>
    <m/>
    <n v="0"/>
    <m/>
    <m/>
    <m/>
    <n v="5"/>
    <m/>
    <m/>
    <m/>
  </r>
  <r>
    <x v="9"/>
    <s v="performance"/>
    <x v="2"/>
    <n v="2025"/>
    <n v="7"/>
    <s v="STACK_LOWEST"/>
    <s v="Age"/>
    <s v="Age"/>
    <b v="1"/>
    <n v="1"/>
    <n v="6.1340911388397217"/>
    <b v="0"/>
    <m/>
    <m/>
    <m/>
    <m/>
    <m/>
  </r>
  <r>
    <x v="9"/>
    <s v="performance"/>
    <x v="2"/>
    <n v="2025"/>
    <n v="8"/>
    <s v="STACK_NUM58"/>
    <s v="58"/>
    <m/>
    <b v="0"/>
    <n v="0"/>
    <n v="15"/>
    <b v="1"/>
    <m/>
    <m/>
    <m/>
    <m/>
    <m/>
  </r>
  <r>
    <x v="9"/>
    <s v="perception"/>
    <x v="2"/>
    <n v="2025"/>
    <n v="9"/>
    <m/>
    <m/>
    <s v="4"/>
    <m/>
    <n v="0"/>
    <m/>
    <m/>
    <m/>
    <m/>
    <n v="4"/>
    <m/>
    <m/>
  </r>
  <r>
    <x v="9"/>
    <s v="performance"/>
    <x v="3"/>
    <n v="2025"/>
    <n v="10"/>
    <s v="LINE_HIGH_SPIKE"/>
    <s v="Religion/Religious Practice"/>
    <s v="Religion/Religious Practice"/>
    <b v="1"/>
    <n v="1"/>
    <n v="6.4174790382385254"/>
    <b v="0"/>
    <m/>
    <m/>
    <m/>
    <m/>
    <m/>
  </r>
  <r>
    <x v="9"/>
    <s v="performance"/>
    <x v="3"/>
    <n v="2025"/>
    <n v="11"/>
    <s v="LINE_CLOSE_TO_HIGHEST"/>
    <s v="Race/Color"/>
    <s v="Race/Color"/>
    <b v="1"/>
    <n v="1"/>
    <n v="5.6207401752471924"/>
    <b v="0"/>
    <m/>
    <m/>
    <m/>
    <m/>
    <m/>
  </r>
  <r>
    <x v="9"/>
    <s v="perception"/>
    <x v="3"/>
    <n v="2025"/>
    <n v="12"/>
    <m/>
    <m/>
    <s v="5"/>
    <m/>
    <n v="0"/>
    <m/>
    <m/>
    <m/>
    <m/>
    <m/>
    <n v="5"/>
    <m/>
  </r>
  <r>
    <x v="9"/>
    <s v="preference"/>
    <x v="1"/>
    <n v="2025"/>
    <m/>
    <m/>
    <m/>
    <s v="Bar Chart"/>
    <m/>
    <n v="0"/>
    <m/>
    <m/>
    <m/>
    <m/>
    <m/>
    <m/>
    <s v="Bar Chart"/>
  </r>
  <r>
    <x v="10"/>
    <s v="performance"/>
    <x v="2"/>
    <n v="2025"/>
    <n v="1"/>
    <s v="STACK_LOWEST"/>
    <s v="Age"/>
    <s v="Age"/>
    <b v="1"/>
    <n v="1"/>
    <n v="7.8842120170593262"/>
    <b v="0"/>
    <m/>
    <m/>
    <m/>
    <m/>
    <m/>
  </r>
  <r>
    <x v="10"/>
    <s v="performance"/>
    <x v="2"/>
    <n v="2025"/>
    <n v="2"/>
    <s v="STACK_NUM58"/>
    <s v="58"/>
    <m/>
    <b v="0"/>
    <n v="0"/>
    <n v="15"/>
    <b v="1"/>
    <m/>
    <m/>
    <m/>
    <m/>
    <m/>
  </r>
  <r>
    <x v="10"/>
    <s v="perception"/>
    <x v="2"/>
    <n v="2025"/>
    <n v="3"/>
    <m/>
    <m/>
    <s v="3"/>
    <m/>
    <n v="0"/>
    <m/>
    <m/>
    <n v="3"/>
    <m/>
    <m/>
    <m/>
    <m/>
  </r>
  <r>
    <x v="10"/>
    <s v="performance"/>
    <x v="1"/>
    <n v="2025"/>
    <n v="4"/>
    <s v="BAR_SECOND_HIGHEST"/>
    <s v="Race/Color"/>
    <s v="Race/Color"/>
    <b v="1"/>
    <n v="1"/>
    <n v="5.2362368106842041"/>
    <b v="0"/>
    <m/>
    <m/>
    <m/>
    <m/>
    <m/>
  </r>
  <r>
    <x v="10"/>
    <s v="performance"/>
    <x v="1"/>
    <n v="2025"/>
    <n v="5"/>
    <s v="BAR_NUM25"/>
    <s v="Ethnicity/National Origin/Ancestry"/>
    <s v="Ethnicity/National Origin/Ancestry"/>
    <b v="1"/>
    <n v="1"/>
    <n v="6.8094420433044434"/>
    <b v="0"/>
    <m/>
    <m/>
    <m/>
    <m/>
    <m/>
  </r>
  <r>
    <x v="10"/>
    <s v="perception"/>
    <x v="1"/>
    <n v="2025"/>
    <n v="6"/>
    <m/>
    <m/>
    <s v="4"/>
    <m/>
    <n v="0"/>
    <m/>
    <m/>
    <m/>
    <n v="4"/>
    <m/>
    <m/>
    <m/>
  </r>
  <r>
    <x v="10"/>
    <s v="performance"/>
    <x v="0"/>
    <n v="2025"/>
    <n v="7"/>
    <s v="TREEMAP_SECOND_LOWEST"/>
    <s v="Gender"/>
    <s v="Gender"/>
    <b v="1"/>
    <n v="1"/>
    <n v="8.3579850196838379"/>
    <b v="0"/>
    <m/>
    <m/>
    <m/>
    <m/>
    <m/>
  </r>
  <r>
    <x v="10"/>
    <s v="performance"/>
    <x v="0"/>
    <n v="2025"/>
    <n v="8"/>
    <s v="TREEMAP_CLOSE_PAIR"/>
    <s v="Gender &amp; Age"/>
    <s v="Religion/Religious Practice &amp; Sexual Orientation"/>
    <b v="0"/>
    <n v="0"/>
    <n v="13.47494196891785"/>
    <b v="0"/>
    <m/>
    <m/>
    <m/>
    <m/>
    <m/>
  </r>
  <r>
    <x v="10"/>
    <s v="perception"/>
    <x v="0"/>
    <n v="2025"/>
    <n v="9"/>
    <m/>
    <m/>
    <s v="3"/>
    <m/>
    <n v="0"/>
    <m/>
    <m/>
    <m/>
    <m/>
    <n v="3"/>
    <m/>
    <m/>
  </r>
  <r>
    <x v="10"/>
    <s v="performance"/>
    <x v="3"/>
    <n v="2025"/>
    <n v="10"/>
    <s v="LINE_HIGH_SPIKE"/>
    <s v="Religion/Religious Practice"/>
    <s v="Religion/Religious Practice"/>
    <b v="1"/>
    <n v="1"/>
    <n v="4.6245830059051514"/>
    <b v="0"/>
    <m/>
    <m/>
    <m/>
    <m/>
    <m/>
  </r>
  <r>
    <x v="10"/>
    <s v="performance"/>
    <x v="3"/>
    <n v="2025"/>
    <n v="11"/>
    <s v="LINE_CLOSE_TO_HIGHEST"/>
    <s v="Race/Color"/>
    <s v="Religion/Religious Practice"/>
    <b v="0"/>
    <n v="0"/>
    <n v="8.1057047843933105"/>
    <b v="0"/>
    <m/>
    <m/>
    <m/>
    <m/>
    <m/>
  </r>
  <r>
    <x v="10"/>
    <s v="perception"/>
    <x v="3"/>
    <n v="2025"/>
    <n v="12"/>
    <m/>
    <m/>
    <s v="3"/>
    <m/>
    <n v="0"/>
    <m/>
    <m/>
    <m/>
    <m/>
    <m/>
    <n v="3"/>
    <m/>
  </r>
  <r>
    <x v="10"/>
    <s v="preference"/>
    <x v="1"/>
    <n v="2025"/>
    <m/>
    <m/>
    <m/>
    <s v="Bar Chart"/>
    <m/>
    <n v="0"/>
    <m/>
    <m/>
    <m/>
    <m/>
    <m/>
    <m/>
    <s v="Bar Chart"/>
  </r>
  <r>
    <x v="11"/>
    <s v="performance"/>
    <x v="3"/>
    <n v="2025"/>
    <n v="1"/>
    <s v="LINE_HIGH_SPIKE"/>
    <s v="Religion/Religious Practice"/>
    <s v="Religion/Religious Practice"/>
    <b v="1"/>
    <n v="1"/>
    <n v="9.5022470951080322"/>
    <b v="0"/>
    <m/>
    <m/>
    <m/>
    <m/>
    <m/>
  </r>
  <r>
    <x v="11"/>
    <s v="performance"/>
    <x v="3"/>
    <n v="2025"/>
    <n v="2"/>
    <s v="LINE_CLOSE_TO_HIGHEST"/>
    <s v="Race/Color"/>
    <s v="Race/Color"/>
    <b v="1"/>
    <n v="1"/>
    <n v="5.8808410167694092"/>
    <b v="0"/>
    <m/>
    <m/>
    <m/>
    <m/>
    <m/>
  </r>
  <r>
    <x v="11"/>
    <s v="perception"/>
    <x v="3"/>
    <n v="2025"/>
    <n v="3"/>
    <m/>
    <m/>
    <s v="5"/>
    <m/>
    <n v="0"/>
    <m/>
    <m/>
    <m/>
    <m/>
    <m/>
    <n v="5"/>
    <m/>
  </r>
  <r>
    <x v="11"/>
    <s v="performance"/>
    <x v="0"/>
    <n v="2025"/>
    <n v="4"/>
    <s v="TREEMAP_SECOND_LOWEST"/>
    <s v="Gender"/>
    <s v="Gender"/>
    <b v="1"/>
    <n v="1"/>
    <n v="8.4020318984985352"/>
    <b v="0"/>
    <m/>
    <m/>
    <m/>
    <m/>
    <m/>
  </r>
  <r>
    <x v="11"/>
    <s v="performance"/>
    <x v="0"/>
    <n v="2025"/>
    <n v="5"/>
    <s v="TREEMAP_CLOSE_PAIR"/>
    <s v="Gender &amp; Age"/>
    <m/>
    <b v="0"/>
    <n v="0"/>
    <n v="15"/>
    <b v="1"/>
    <m/>
    <m/>
    <m/>
    <m/>
    <m/>
  </r>
  <r>
    <x v="11"/>
    <s v="perception"/>
    <x v="0"/>
    <n v="2025"/>
    <n v="6"/>
    <m/>
    <m/>
    <s v="5"/>
    <m/>
    <n v="0"/>
    <m/>
    <m/>
    <n v="5"/>
    <m/>
    <m/>
    <m/>
    <m/>
  </r>
  <r>
    <x v="11"/>
    <s v="performance"/>
    <x v="2"/>
    <n v="2025"/>
    <n v="7"/>
    <s v="STACK_LOWEST"/>
    <s v="Age"/>
    <s v="Age"/>
    <b v="1"/>
    <n v="1"/>
    <n v="9.3563599586486816"/>
    <b v="0"/>
    <m/>
    <m/>
    <m/>
    <m/>
    <m/>
  </r>
  <r>
    <x v="11"/>
    <s v="performance"/>
    <x v="2"/>
    <n v="2025"/>
    <n v="8"/>
    <s v="STACK_NUM58"/>
    <s v="58"/>
    <m/>
    <b v="0"/>
    <n v="0"/>
    <n v="15"/>
    <b v="1"/>
    <m/>
    <m/>
    <m/>
    <m/>
    <m/>
  </r>
  <r>
    <x v="11"/>
    <s v="perception"/>
    <x v="2"/>
    <n v="2025"/>
    <n v="9"/>
    <m/>
    <m/>
    <s v="3"/>
    <m/>
    <n v="0"/>
    <m/>
    <m/>
    <m/>
    <m/>
    <n v="3"/>
    <m/>
    <m/>
  </r>
  <r>
    <x v="11"/>
    <s v="performance"/>
    <x v="1"/>
    <n v="2025"/>
    <n v="10"/>
    <s v="BAR_SECOND_HIGHEST"/>
    <s v="Race/Color"/>
    <s v="Race/Color"/>
    <b v="1"/>
    <n v="1"/>
    <n v="6.0388040542602539"/>
    <b v="0"/>
    <m/>
    <m/>
    <m/>
    <m/>
    <m/>
  </r>
  <r>
    <x v="11"/>
    <s v="performance"/>
    <x v="1"/>
    <n v="2025"/>
    <n v="11"/>
    <s v="BAR_NUM25"/>
    <s v="Ethnicity/National Origin/Ancestry"/>
    <m/>
    <b v="0"/>
    <n v="0"/>
    <n v="15"/>
    <b v="1"/>
    <m/>
    <m/>
    <m/>
    <m/>
    <m/>
  </r>
  <r>
    <x v="11"/>
    <s v="perception"/>
    <x v="1"/>
    <n v="2025"/>
    <n v="12"/>
    <m/>
    <m/>
    <s v="4"/>
    <m/>
    <n v="0"/>
    <m/>
    <m/>
    <m/>
    <n v="4"/>
    <m/>
    <m/>
    <m/>
  </r>
  <r>
    <x v="11"/>
    <s v="preference"/>
    <x v="1"/>
    <n v="2025"/>
    <m/>
    <m/>
    <m/>
    <s v="Bar Chart"/>
    <m/>
    <n v="0"/>
    <m/>
    <m/>
    <m/>
    <m/>
    <m/>
    <m/>
    <s v="Bar Chart"/>
  </r>
  <r>
    <x v="12"/>
    <s v="performance"/>
    <x v="3"/>
    <n v="2025"/>
    <n v="1"/>
    <s v="LINE_HIGH_SPIKE"/>
    <s v="Religion/Religious Practice"/>
    <s v="Religion/Religious Practice"/>
    <b v="1"/>
    <n v="1"/>
    <n v="11.6679220199585"/>
    <b v="0"/>
    <m/>
    <m/>
    <m/>
    <m/>
    <m/>
  </r>
  <r>
    <x v="12"/>
    <s v="performance"/>
    <x v="3"/>
    <n v="2025"/>
    <n v="2"/>
    <s v="LINE_CLOSE_TO_HIGHEST"/>
    <s v="Race/Color"/>
    <s v="Race/Color"/>
    <b v="1"/>
    <n v="1"/>
    <n v="6.9328451156616211"/>
    <b v="0"/>
    <m/>
    <m/>
    <m/>
    <m/>
    <m/>
  </r>
  <r>
    <x v="12"/>
    <s v="perception"/>
    <x v="3"/>
    <n v="2025"/>
    <n v="3"/>
    <m/>
    <m/>
    <s v="5"/>
    <m/>
    <n v="0"/>
    <m/>
    <m/>
    <m/>
    <m/>
    <m/>
    <n v="5"/>
    <m/>
  </r>
  <r>
    <x v="12"/>
    <s v="performance"/>
    <x v="0"/>
    <n v="2025"/>
    <n v="4"/>
    <s v="TREEMAP_SECOND_LOWEST"/>
    <s v="Gender"/>
    <s v="Gender"/>
    <b v="1"/>
    <n v="1"/>
    <n v="7.8354051113128662"/>
    <b v="0"/>
    <m/>
    <m/>
    <m/>
    <m/>
    <m/>
  </r>
  <r>
    <x v="12"/>
    <s v="performance"/>
    <x v="0"/>
    <n v="2025"/>
    <n v="5"/>
    <s v="TREEMAP_CLOSE_PAIR"/>
    <s v="Gender &amp; Age"/>
    <m/>
    <b v="0"/>
    <n v="0"/>
    <n v="15"/>
    <b v="1"/>
    <m/>
    <m/>
    <m/>
    <m/>
    <m/>
  </r>
  <r>
    <x v="12"/>
    <s v="perception"/>
    <x v="0"/>
    <n v="2025"/>
    <n v="6"/>
    <m/>
    <m/>
    <s v="3"/>
    <m/>
    <n v="0"/>
    <m/>
    <m/>
    <n v="3"/>
    <m/>
    <m/>
    <m/>
    <m/>
  </r>
  <r>
    <x v="12"/>
    <s v="performance"/>
    <x v="1"/>
    <n v="2025"/>
    <n v="7"/>
    <s v="BAR_SECOND_HIGHEST"/>
    <s v="Race/Color"/>
    <s v="Race/Color"/>
    <b v="1"/>
    <n v="1"/>
    <n v="10.10438203811646"/>
    <b v="0"/>
    <m/>
    <m/>
    <m/>
    <m/>
    <m/>
  </r>
  <r>
    <x v="12"/>
    <s v="performance"/>
    <x v="1"/>
    <n v="2025"/>
    <n v="8"/>
    <s v="BAR_NUM25"/>
    <s v="Ethnicity/National Origin/Ancestry"/>
    <s v="Ethnicity/National Origin/Ancestry"/>
    <b v="1"/>
    <n v="1"/>
    <n v="8.9310159683227539"/>
    <b v="0"/>
    <m/>
    <m/>
    <m/>
    <m/>
    <m/>
  </r>
  <r>
    <x v="12"/>
    <s v="perception"/>
    <x v="1"/>
    <n v="2025"/>
    <n v="9"/>
    <m/>
    <m/>
    <s v="5"/>
    <m/>
    <n v="0"/>
    <m/>
    <m/>
    <m/>
    <n v="5"/>
    <m/>
    <m/>
    <m/>
  </r>
  <r>
    <x v="12"/>
    <s v="performance"/>
    <x v="2"/>
    <n v="2025"/>
    <n v="10"/>
    <s v="STACK_LOWEST"/>
    <s v="Age"/>
    <s v="Age"/>
    <b v="1"/>
    <n v="1"/>
    <n v="13.671492099761959"/>
    <b v="0"/>
    <m/>
    <m/>
    <m/>
    <m/>
    <m/>
  </r>
  <r>
    <x v="12"/>
    <s v="performance"/>
    <x v="2"/>
    <n v="2025"/>
    <n v="11"/>
    <s v="STACK_NUM58"/>
    <s v="58"/>
    <m/>
    <b v="0"/>
    <n v="0"/>
    <n v="15"/>
    <b v="1"/>
    <m/>
    <m/>
    <m/>
    <m/>
    <m/>
  </r>
  <r>
    <x v="12"/>
    <s v="perception"/>
    <x v="2"/>
    <n v="2025"/>
    <n v="12"/>
    <m/>
    <m/>
    <s v="3"/>
    <m/>
    <n v="0"/>
    <m/>
    <m/>
    <m/>
    <m/>
    <n v="3"/>
    <m/>
    <m/>
  </r>
  <r>
    <x v="12"/>
    <s v="preference"/>
    <x v="1"/>
    <n v="2025"/>
    <m/>
    <m/>
    <m/>
    <s v="Bar Chart"/>
    <m/>
    <n v="0"/>
    <m/>
    <m/>
    <m/>
    <m/>
    <m/>
    <m/>
    <s v="Bar Chart"/>
  </r>
  <r>
    <x v="13"/>
    <s v="performance"/>
    <x v="0"/>
    <n v="2025"/>
    <n v="1"/>
    <s v="TREEMAP_SECOND_LOWEST"/>
    <s v="Gender"/>
    <s v="Gender"/>
    <b v="1"/>
    <n v="1"/>
    <n v="5.1872940063476562"/>
    <b v="0"/>
    <m/>
    <m/>
    <m/>
    <m/>
    <m/>
  </r>
  <r>
    <x v="13"/>
    <s v="performance"/>
    <x v="0"/>
    <n v="2025"/>
    <n v="2"/>
    <s v="TREEMAP_CLOSE_PAIR"/>
    <s v="Gender &amp; Age"/>
    <m/>
    <b v="0"/>
    <n v="0"/>
    <n v="15"/>
    <b v="1"/>
    <m/>
    <m/>
    <m/>
    <m/>
    <m/>
  </r>
  <r>
    <x v="13"/>
    <s v="perception"/>
    <x v="0"/>
    <n v="2025"/>
    <n v="3"/>
    <m/>
    <m/>
    <s v="3"/>
    <m/>
    <n v="0"/>
    <m/>
    <m/>
    <n v="3"/>
    <m/>
    <m/>
    <m/>
    <m/>
  </r>
  <r>
    <x v="13"/>
    <s v="performance"/>
    <x v="2"/>
    <n v="2025"/>
    <n v="4"/>
    <s v="STACK_LOWEST"/>
    <s v="Age"/>
    <s v="Age"/>
    <b v="1"/>
    <n v="1"/>
    <n v="3.610435009002686"/>
    <b v="0"/>
    <m/>
    <m/>
    <m/>
    <m/>
    <m/>
  </r>
  <r>
    <x v="13"/>
    <s v="performance"/>
    <x v="2"/>
    <n v="2025"/>
    <n v="5"/>
    <s v="STACK_NUM58"/>
    <s v="58"/>
    <s v="58"/>
    <b v="1"/>
    <n v="1"/>
    <n v="9.31656813621521"/>
    <b v="0"/>
    <m/>
    <m/>
    <m/>
    <m/>
    <m/>
  </r>
  <r>
    <x v="13"/>
    <s v="perception"/>
    <x v="2"/>
    <n v="2025"/>
    <n v="6"/>
    <m/>
    <m/>
    <s v="3"/>
    <m/>
    <n v="0"/>
    <m/>
    <m/>
    <m/>
    <m/>
    <n v="3"/>
    <m/>
    <m/>
  </r>
  <r>
    <x v="13"/>
    <s v="performance"/>
    <x v="1"/>
    <n v="2025"/>
    <n v="7"/>
    <s v="BAR_SECOND_HIGHEST"/>
    <s v="Race/Color"/>
    <s v="Race/Color"/>
    <b v="1"/>
    <n v="1"/>
    <n v="5.6020851135253906"/>
    <b v="0"/>
    <m/>
    <m/>
    <m/>
    <m/>
    <m/>
  </r>
  <r>
    <x v="13"/>
    <s v="performance"/>
    <x v="1"/>
    <n v="2025"/>
    <n v="8"/>
    <s v="BAR_NUM25"/>
    <s v="Ethnicity/National Origin/Ancestry"/>
    <s v="Ethnicity/National Origin/Ancestry"/>
    <b v="1"/>
    <n v="1"/>
    <n v="4.7281050682067871"/>
    <b v="0"/>
    <m/>
    <m/>
    <m/>
    <m/>
    <m/>
  </r>
  <r>
    <x v="13"/>
    <s v="perception"/>
    <x v="1"/>
    <n v="2025"/>
    <n v="9"/>
    <m/>
    <m/>
    <s v="4"/>
    <m/>
    <n v="0"/>
    <m/>
    <m/>
    <m/>
    <n v="4"/>
    <m/>
    <m/>
    <m/>
  </r>
  <r>
    <x v="13"/>
    <s v="performance"/>
    <x v="3"/>
    <n v="2025"/>
    <n v="10"/>
    <s v="LINE_HIGH_SPIKE"/>
    <s v="Religion/Religious Practice"/>
    <m/>
    <b v="0"/>
    <n v="0"/>
    <n v="15"/>
    <b v="1"/>
    <m/>
    <m/>
    <m/>
    <m/>
    <m/>
  </r>
  <r>
    <x v="13"/>
    <s v="performance"/>
    <x v="3"/>
    <n v="2025"/>
    <n v="11"/>
    <s v="LINE_CLOSE_TO_HIGHEST"/>
    <s v="Race/Color"/>
    <s v="Race/Color"/>
    <b v="1"/>
    <n v="1"/>
    <n v="3.802472829818726"/>
    <b v="0"/>
    <m/>
    <m/>
    <m/>
    <m/>
    <m/>
  </r>
  <r>
    <x v="13"/>
    <s v="perception"/>
    <x v="3"/>
    <n v="2025"/>
    <n v="12"/>
    <m/>
    <m/>
    <s v="2"/>
    <m/>
    <n v="0"/>
    <m/>
    <m/>
    <m/>
    <m/>
    <m/>
    <n v="2"/>
    <m/>
  </r>
  <r>
    <x v="13"/>
    <s v="preference"/>
    <x v="1"/>
    <n v="2025"/>
    <m/>
    <m/>
    <m/>
    <s v="Bar Chart"/>
    <m/>
    <n v="0"/>
    <m/>
    <m/>
    <m/>
    <m/>
    <m/>
    <m/>
    <s v="Bar Chart"/>
  </r>
  <r>
    <x v="14"/>
    <s v="performance"/>
    <x v="1"/>
    <n v="2025"/>
    <n v="1"/>
    <s v="BAR_SECOND_HIGHEST"/>
    <s v="Race/Color"/>
    <s v="Race/Color"/>
    <b v="1"/>
    <n v="1"/>
    <n v="6.2441139221191406"/>
    <b v="0"/>
    <m/>
    <m/>
    <m/>
    <m/>
    <m/>
  </r>
  <r>
    <x v="14"/>
    <s v="performance"/>
    <x v="1"/>
    <n v="2025"/>
    <n v="2"/>
    <s v="BAR_NUM25"/>
    <s v="Ethnicity/National Origin/Ancestry"/>
    <s v="Ethnicity/National Origin/Ancestry"/>
    <b v="1"/>
    <n v="1"/>
    <n v="12.36501097679138"/>
    <b v="0"/>
    <m/>
    <m/>
    <m/>
    <m/>
    <m/>
  </r>
  <r>
    <x v="14"/>
    <s v="perception"/>
    <x v="1"/>
    <n v="2025"/>
    <n v="3"/>
    <m/>
    <m/>
    <s v="5"/>
    <m/>
    <n v="0"/>
    <m/>
    <m/>
    <m/>
    <n v="5"/>
    <m/>
    <m/>
    <m/>
  </r>
  <r>
    <x v="14"/>
    <s v="performance"/>
    <x v="0"/>
    <n v="2025"/>
    <n v="4"/>
    <s v="TREEMAP_SECOND_LOWEST"/>
    <s v="Gender"/>
    <s v="Gender"/>
    <b v="1"/>
    <n v="1"/>
    <n v="10.485760927200319"/>
    <b v="0"/>
    <m/>
    <m/>
    <m/>
    <m/>
    <m/>
  </r>
  <r>
    <x v="14"/>
    <s v="performance"/>
    <x v="0"/>
    <n v="2025"/>
    <n v="5"/>
    <s v="TREEMAP_CLOSE_PAIR"/>
    <s v="Gender &amp; Age"/>
    <m/>
    <b v="0"/>
    <n v="0"/>
    <n v="15"/>
    <b v="1"/>
    <m/>
    <m/>
    <m/>
    <m/>
    <m/>
  </r>
  <r>
    <x v="14"/>
    <s v="perception"/>
    <x v="0"/>
    <n v="2025"/>
    <n v="6"/>
    <m/>
    <m/>
    <s v="3"/>
    <m/>
    <n v="0"/>
    <m/>
    <m/>
    <n v="3"/>
    <m/>
    <m/>
    <m/>
    <m/>
  </r>
  <r>
    <x v="14"/>
    <s v="performance"/>
    <x v="2"/>
    <n v="2025"/>
    <n v="7"/>
    <s v="STACK_LOWEST"/>
    <s v="Age"/>
    <m/>
    <b v="0"/>
    <n v="0"/>
    <n v="15"/>
    <b v="1"/>
    <m/>
    <m/>
    <m/>
    <m/>
    <m/>
  </r>
  <r>
    <x v="14"/>
    <s v="performance"/>
    <x v="2"/>
    <n v="2025"/>
    <n v="8"/>
    <s v="STACK_NUM58"/>
    <s v="58"/>
    <m/>
    <b v="0"/>
    <n v="0"/>
    <n v="15"/>
    <b v="1"/>
    <m/>
    <m/>
    <m/>
    <m/>
    <m/>
  </r>
  <r>
    <x v="14"/>
    <s v="perception"/>
    <x v="2"/>
    <n v="2025"/>
    <n v="9"/>
    <m/>
    <m/>
    <s v="2"/>
    <m/>
    <n v="0"/>
    <m/>
    <m/>
    <m/>
    <m/>
    <n v="2"/>
    <m/>
    <m/>
  </r>
  <r>
    <x v="14"/>
    <s v="performance"/>
    <x v="3"/>
    <n v="2025"/>
    <n v="10"/>
    <s v="LINE_HIGH_SPIKE"/>
    <s v="Religion/Religious Practice"/>
    <s v="Religion/Religious Practice"/>
    <b v="1"/>
    <n v="1"/>
    <n v="6.7868931293487549"/>
    <b v="0"/>
    <m/>
    <m/>
    <m/>
    <m/>
    <m/>
  </r>
  <r>
    <x v="14"/>
    <s v="performance"/>
    <x v="3"/>
    <n v="2025"/>
    <n v="11"/>
    <s v="LINE_CLOSE_TO_HIGHEST"/>
    <s v="Race/Color"/>
    <s v="Race/Color"/>
    <b v="1"/>
    <n v="1"/>
    <n v="6.8481159210205078"/>
    <b v="0"/>
    <m/>
    <m/>
    <m/>
    <m/>
    <m/>
  </r>
  <r>
    <x v="14"/>
    <s v="perception"/>
    <x v="3"/>
    <n v="2025"/>
    <n v="12"/>
    <m/>
    <m/>
    <s v="2"/>
    <m/>
    <n v="0"/>
    <m/>
    <m/>
    <m/>
    <m/>
    <m/>
    <n v="2"/>
    <m/>
  </r>
  <r>
    <x v="14"/>
    <s v="preference"/>
    <x v="1"/>
    <n v="2025"/>
    <m/>
    <m/>
    <m/>
    <s v="Bar Chart"/>
    <m/>
    <n v="0"/>
    <m/>
    <m/>
    <m/>
    <m/>
    <m/>
    <m/>
    <s v="Bar Chart"/>
  </r>
  <r>
    <x v="15"/>
    <s v="performance"/>
    <x v="1"/>
    <n v="2025"/>
    <n v="1"/>
    <s v="BAR_SECOND_HIGHEST"/>
    <s v="Race/Color"/>
    <s v="Race/Color"/>
    <b v="1"/>
    <n v="1"/>
    <n v="4.5079729557037354"/>
    <b v="0"/>
    <m/>
    <m/>
    <m/>
    <m/>
    <m/>
  </r>
  <r>
    <x v="15"/>
    <s v="performance"/>
    <x v="1"/>
    <n v="2025"/>
    <n v="2"/>
    <s v="BAR_NUM25"/>
    <s v="Ethnicity/National Origin/Ancestry"/>
    <m/>
    <b v="0"/>
    <n v="0"/>
    <n v="15"/>
    <b v="1"/>
    <m/>
    <m/>
    <m/>
    <m/>
    <m/>
  </r>
  <r>
    <x v="15"/>
    <s v="perception"/>
    <x v="1"/>
    <n v="2025"/>
    <n v="3"/>
    <m/>
    <m/>
    <s v="5"/>
    <m/>
    <n v="0"/>
    <m/>
    <m/>
    <m/>
    <n v="5"/>
    <m/>
    <m/>
    <m/>
  </r>
  <r>
    <x v="15"/>
    <s v="performance"/>
    <x v="3"/>
    <n v="2025"/>
    <n v="4"/>
    <s v="LINE_HIGH_SPIKE"/>
    <s v="Religion/Religious Practice"/>
    <s v="Religion/Religious Practice"/>
    <b v="1"/>
    <n v="1"/>
    <n v="5.969527006149292"/>
    <b v="0"/>
    <m/>
    <m/>
    <m/>
    <m/>
    <m/>
  </r>
  <r>
    <x v="15"/>
    <s v="performance"/>
    <x v="3"/>
    <n v="2025"/>
    <n v="5"/>
    <s v="LINE_CLOSE_TO_HIGHEST"/>
    <s v="Race/Color"/>
    <s v="Race/Color"/>
    <b v="1"/>
    <n v="1"/>
    <n v="5.0587968826293954"/>
    <b v="0"/>
    <m/>
    <m/>
    <m/>
    <m/>
    <m/>
  </r>
  <r>
    <x v="15"/>
    <s v="perception"/>
    <x v="3"/>
    <n v="2025"/>
    <n v="6"/>
    <m/>
    <m/>
    <s v="5"/>
    <m/>
    <n v="0"/>
    <m/>
    <m/>
    <m/>
    <m/>
    <m/>
    <n v="5"/>
    <m/>
  </r>
  <r>
    <x v="15"/>
    <s v="performance"/>
    <x v="0"/>
    <n v="2025"/>
    <n v="7"/>
    <s v="TREEMAP_SECOND_LOWEST"/>
    <s v="Gender"/>
    <s v="Gender"/>
    <b v="1"/>
    <n v="1"/>
    <n v="4.9975509643554688"/>
    <b v="0"/>
    <m/>
    <m/>
    <m/>
    <m/>
    <m/>
  </r>
  <r>
    <x v="15"/>
    <s v="performance"/>
    <x v="0"/>
    <n v="2025"/>
    <n v="8"/>
    <s v="TREEMAP_CLOSE_PAIR"/>
    <s v="Gender &amp; Age"/>
    <s v="Gender &amp; Age"/>
    <b v="1"/>
    <n v="1"/>
    <n v="11.1357319355011"/>
    <b v="0"/>
    <m/>
    <m/>
    <m/>
    <m/>
    <m/>
  </r>
  <r>
    <x v="15"/>
    <s v="perception"/>
    <x v="0"/>
    <n v="2025"/>
    <n v="9"/>
    <m/>
    <m/>
    <s v="4"/>
    <m/>
    <n v="0"/>
    <m/>
    <m/>
    <n v="4"/>
    <m/>
    <m/>
    <m/>
    <m/>
  </r>
  <r>
    <x v="15"/>
    <s v="performance"/>
    <x v="2"/>
    <n v="2025"/>
    <n v="10"/>
    <s v="STACK_LOWEST"/>
    <s v="Age"/>
    <s v="Age"/>
    <b v="1"/>
    <n v="1"/>
    <n v="4.9537529945373544"/>
    <b v="0"/>
    <m/>
    <m/>
    <m/>
    <m/>
    <m/>
  </r>
  <r>
    <x v="15"/>
    <s v="performance"/>
    <x v="2"/>
    <n v="2025"/>
    <n v="11"/>
    <s v="STACK_NUM58"/>
    <s v="58"/>
    <m/>
    <b v="0"/>
    <n v="0"/>
    <n v="15"/>
    <b v="1"/>
    <m/>
    <m/>
    <m/>
    <m/>
    <m/>
  </r>
  <r>
    <x v="15"/>
    <s v="perception"/>
    <x v="2"/>
    <n v="2025"/>
    <n v="12"/>
    <m/>
    <m/>
    <s v="4"/>
    <m/>
    <n v="0"/>
    <m/>
    <m/>
    <m/>
    <m/>
    <n v="4"/>
    <m/>
    <m/>
  </r>
  <r>
    <x v="15"/>
    <s v="preference"/>
    <x v="0"/>
    <n v="2025"/>
    <m/>
    <m/>
    <m/>
    <s v="Tree Map"/>
    <m/>
    <n v="0"/>
    <m/>
    <m/>
    <m/>
    <m/>
    <m/>
    <m/>
    <s v="Tree Map"/>
  </r>
  <r>
    <x v="16"/>
    <s v="performance"/>
    <x v="1"/>
    <n v="2025"/>
    <n v="1"/>
    <s v="BAR_SECOND_HIGHEST"/>
    <s v="Race/Color"/>
    <s v="Race/Color"/>
    <b v="1"/>
    <n v="1"/>
    <n v="7.4243600368499756"/>
    <b v="0"/>
    <m/>
    <m/>
    <m/>
    <m/>
    <m/>
  </r>
  <r>
    <x v="16"/>
    <s v="performance"/>
    <x v="1"/>
    <n v="2025"/>
    <n v="2"/>
    <s v="BAR_NUM25"/>
    <s v="Ethnicity/National Origin/Ancestry"/>
    <m/>
    <b v="0"/>
    <n v="0"/>
    <n v="15"/>
    <b v="1"/>
    <m/>
    <m/>
    <m/>
    <m/>
    <m/>
  </r>
  <r>
    <x v="16"/>
    <s v="perception"/>
    <x v="1"/>
    <n v="2025"/>
    <n v="3"/>
    <m/>
    <m/>
    <s v="5"/>
    <m/>
    <n v="0"/>
    <m/>
    <m/>
    <m/>
    <n v="5"/>
    <m/>
    <m/>
    <m/>
  </r>
  <r>
    <x v="16"/>
    <s v="performance"/>
    <x v="0"/>
    <n v="2025"/>
    <n v="4"/>
    <s v="TREEMAP_SECOND_LOWEST"/>
    <s v="Gender"/>
    <s v="Gender"/>
    <b v="1"/>
    <n v="1"/>
    <n v="4.9038679599761963"/>
    <b v="0"/>
    <m/>
    <m/>
    <m/>
    <m/>
    <m/>
  </r>
  <r>
    <x v="16"/>
    <s v="performance"/>
    <x v="0"/>
    <n v="2025"/>
    <n v="5"/>
    <s v="TREEMAP_CLOSE_PAIR"/>
    <s v="Gender &amp; Age"/>
    <s v="Ethnicity/National Origin/Ancestry &amp; Gender"/>
    <b v="0"/>
    <n v="0"/>
    <n v="11.23552298545837"/>
    <b v="0"/>
    <m/>
    <m/>
    <m/>
    <m/>
    <m/>
  </r>
  <r>
    <x v="16"/>
    <s v="perception"/>
    <x v="0"/>
    <n v="2025"/>
    <n v="6"/>
    <m/>
    <m/>
    <s v="5"/>
    <m/>
    <n v="0"/>
    <m/>
    <m/>
    <n v="5"/>
    <m/>
    <m/>
    <m/>
    <m/>
  </r>
  <r>
    <x v="16"/>
    <s v="performance"/>
    <x v="3"/>
    <n v="2025"/>
    <n v="7"/>
    <s v="LINE_HIGH_SPIKE"/>
    <s v="Religion/Religious Practice"/>
    <s v="Religion/Religious Practice"/>
    <b v="1"/>
    <n v="1"/>
    <n v="5.7321629524230957"/>
    <b v="0"/>
    <m/>
    <m/>
    <m/>
    <m/>
    <m/>
  </r>
  <r>
    <x v="16"/>
    <s v="performance"/>
    <x v="3"/>
    <n v="2025"/>
    <n v="8"/>
    <s v="LINE_CLOSE_TO_HIGHEST"/>
    <s v="Race/Color"/>
    <s v="Race/Color"/>
    <b v="1"/>
    <n v="1"/>
    <n v="5.030858039855957"/>
    <b v="0"/>
    <m/>
    <m/>
    <m/>
    <m/>
    <m/>
  </r>
  <r>
    <x v="16"/>
    <s v="perception"/>
    <x v="3"/>
    <n v="2025"/>
    <n v="9"/>
    <m/>
    <m/>
    <s v="5"/>
    <m/>
    <n v="0"/>
    <m/>
    <m/>
    <m/>
    <m/>
    <m/>
    <n v="5"/>
    <m/>
  </r>
  <r>
    <x v="16"/>
    <s v="performance"/>
    <x v="2"/>
    <n v="2025"/>
    <n v="10"/>
    <s v="STACK_LOWEST"/>
    <s v="Age"/>
    <s v="Age"/>
    <b v="1"/>
    <n v="1"/>
    <n v="4.6179778575897217"/>
    <b v="0"/>
    <m/>
    <m/>
    <m/>
    <m/>
    <m/>
  </r>
  <r>
    <x v="16"/>
    <s v="performance"/>
    <x v="2"/>
    <n v="2025"/>
    <n v="11"/>
    <s v="STACK_NUM58"/>
    <s v="58"/>
    <m/>
    <b v="0"/>
    <n v="0"/>
    <n v="15"/>
    <b v="1"/>
    <m/>
    <m/>
    <m/>
    <m/>
    <m/>
  </r>
  <r>
    <x v="16"/>
    <s v="perception"/>
    <x v="2"/>
    <n v="2025"/>
    <n v="12"/>
    <m/>
    <m/>
    <s v="5"/>
    <m/>
    <n v="0"/>
    <m/>
    <m/>
    <m/>
    <m/>
    <n v="5"/>
    <m/>
    <m/>
  </r>
  <r>
    <x v="16"/>
    <s v="preference"/>
    <x v="1"/>
    <n v="2025"/>
    <m/>
    <m/>
    <m/>
    <s v="Bar Chart"/>
    <m/>
    <n v="0"/>
    <m/>
    <m/>
    <m/>
    <m/>
    <m/>
    <m/>
    <s v="Bar Chart"/>
  </r>
  <r>
    <x v="17"/>
    <s v="performance"/>
    <x v="2"/>
    <n v="2025"/>
    <n v="1"/>
    <s v="STACK_LOWEST"/>
    <s v="Age"/>
    <s v="Gender"/>
    <b v="0"/>
    <n v="0"/>
    <n v="6.0163180828094482"/>
    <b v="0"/>
    <m/>
    <m/>
    <m/>
    <m/>
    <m/>
  </r>
  <r>
    <x v="17"/>
    <s v="performance"/>
    <x v="2"/>
    <n v="2025"/>
    <n v="2"/>
    <s v="STACK_NUM58"/>
    <s v="58"/>
    <s v="39"/>
    <b v="0"/>
    <n v="0"/>
    <n v="12.56263589859009"/>
    <b v="0"/>
    <m/>
    <m/>
    <m/>
    <m/>
    <m/>
  </r>
  <r>
    <x v="17"/>
    <s v="perception"/>
    <x v="2"/>
    <n v="2025"/>
    <n v="3"/>
    <m/>
    <m/>
    <s v="3"/>
    <m/>
    <n v="0"/>
    <m/>
    <m/>
    <m/>
    <m/>
    <n v="3"/>
    <m/>
    <m/>
  </r>
  <r>
    <x v="17"/>
    <s v="performance"/>
    <x v="3"/>
    <n v="2025"/>
    <n v="4"/>
    <s v="LINE_HIGH_SPIKE"/>
    <s v="Religion/Religious Practice"/>
    <m/>
    <b v="0"/>
    <n v="0"/>
    <n v="15"/>
    <b v="1"/>
    <m/>
    <m/>
    <m/>
    <m/>
    <m/>
  </r>
  <r>
    <x v="17"/>
    <s v="performance"/>
    <x v="3"/>
    <n v="2025"/>
    <n v="5"/>
    <s v="LINE_CLOSE_TO_HIGHEST"/>
    <s v="Race/Color"/>
    <s v="Ethnicity/National Origin/Ancestry"/>
    <b v="0"/>
    <n v="0"/>
    <n v="9.0227181911468506"/>
    <b v="0"/>
    <m/>
    <m/>
    <m/>
    <m/>
    <m/>
  </r>
  <r>
    <x v="17"/>
    <s v="perception"/>
    <x v="3"/>
    <n v="2025"/>
    <n v="6"/>
    <m/>
    <m/>
    <s v="3"/>
    <m/>
    <n v="0"/>
    <m/>
    <m/>
    <m/>
    <m/>
    <m/>
    <n v="3"/>
    <m/>
  </r>
  <r>
    <x v="17"/>
    <s v="performance"/>
    <x v="0"/>
    <n v="2025"/>
    <n v="7"/>
    <s v="TREEMAP_SECOND_LOWEST"/>
    <s v="Gender"/>
    <m/>
    <b v="0"/>
    <n v="0"/>
    <n v="15"/>
    <b v="1"/>
    <m/>
    <m/>
    <m/>
    <m/>
    <m/>
  </r>
  <r>
    <x v="17"/>
    <s v="performance"/>
    <x v="0"/>
    <n v="2025"/>
    <n v="8"/>
    <s v="TREEMAP_CLOSE_PAIR"/>
    <s v="Gender &amp; Age"/>
    <s v="Religion/Religious Practice &amp; Sexual Orientation"/>
    <b v="0"/>
    <n v="0"/>
    <n v="7.8338079452514648"/>
    <b v="0"/>
    <m/>
    <m/>
    <m/>
    <m/>
    <m/>
  </r>
  <r>
    <x v="17"/>
    <s v="perception"/>
    <x v="0"/>
    <n v="2025"/>
    <n v="9"/>
    <m/>
    <m/>
    <s v="3"/>
    <m/>
    <n v="0"/>
    <m/>
    <m/>
    <n v="3"/>
    <m/>
    <m/>
    <m/>
    <m/>
  </r>
  <r>
    <x v="17"/>
    <s v="performance"/>
    <x v="1"/>
    <n v="2025"/>
    <n v="10"/>
    <s v="BAR_SECOND_HIGHEST"/>
    <s v="Race/Color"/>
    <s v="Race/Color"/>
    <b v="1"/>
    <n v="1"/>
    <n v="7.9163458347320557"/>
    <b v="0"/>
    <m/>
    <m/>
    <m/>
    <m/>
    <m/>
  </r>
  <r>
    <x v="17"/>
    <s v="performance"/>
    <x v="1"/>
    <n v="2025"/>
    <n v="11"/>
    <s v="BAR_NUM25"/>
    <s v="Ethnicity/National Origin/Ancestry"/>
    <s v="Gender"/>
    <b v="0"/>
    <n v="0"/>
    <n v="11.11382699012756"/>
    <b v="0"/>
    <m/>
    <m/>
    <m/>
    <m/>
    <m/>
  </r>
  <r>
    <x v="17"/>
    <s v="perception"/>
    <x v="1"/>
    <n v="2025"/>
    <n v="12"/>
    <m/>
    <m/>
    <s v="3"/>
    <m/>
    <n v="0"/>
    <m/>
    <m/>
    <m/>
    <n v="3"/>
    <m/>
    <m/>
    <m/>
  </r>
  <r>
    <x v="17"/>
    <s v="preference"/>
    <x v="3"/>
    <n v="2025"/>
    <m/>
    <m/>
    <m/>
    <s v="Line Graph"/>
    <m/>
    <n v="0"/>
    <m/>
    <m/>
    <m/>
    <m/>
    <m/>
    <m/>
    <s v="Line Graph"/>
  </r>
  <r>
    <x v="18"/>
    <s v="performance"/>
    <x v="2"/>
    <n v="2025"/>
    <n v="1"/>
    <s v="STACK_LOWEST"/>
    <s v="Age"/>
    <s v="Age"/>
    <b v="1"/>
    <n v="1"/>
    <n v="12.720000982284549"/>
    <b v="0"/>
    <m/>
    <m/>
    <m/>
    <m/>
    <m/>
  </r>
  <r>
    <x v="18"/>
    <s v="performance"/>
    <x v="2"/>
    <n v="2025"/>
    <n v="2"/>
    <s v="STACK_NUM58"/>
    <s v="58"/>
    <m/>
    <b v="0"/>
    <n v="0"/>
    <n v="15"/>
    <b v="1"/>
    <m/>
    <m/>
    <m/>
    <m/>
    <m/>
  </r>
  <r>
    <x v="18"/>
    <s v="perception"/>
    <x v="2"/>
    <n v="2025"/>
    <n v="3"/>
    <m/>
    <m/>
    <s v="1"/>
    <m/>
    <n v="0"/>
    <m/>
    <m/>
    <m/>
    <m/>
    <n v="1"/>
    <m/>
    <m/>
  </r>
  <r>
    <x v="18"/>
    <s v="performance"/>
    <x v="0"/>
    <n v="2025"/>
    <n v="4"/>
    <s v="TREEMAP_SECOND_LOWEST"/>
    <s v="Gender"/>
    <s v="Gender"/>
    <b v="1"/>
    <n v="1"/>
    <n v="9.1168241500854492"/>
    <b v="0"/>
    <m/>
    <m/>
    <m/>
    <m/>
    <m/>
  </r>
  <r>
    <x v="18"/>
    <s v="performance"/>
    <x v="0"/>
    <n v="2025"/>
    <n v="5"/>
    <s v="TREEMAP_CLOSE_PAIR"/>
    <s v="Gender &amp; Age"/>
    <s v="Sexual Orientation &amp; Age"/>
    <b v="0"/>
    <n v="0"/>
    <n v="13.686969041824341"/>
    <b v="0"/>
    <m/>
    <m/>
    <m/>
    <m/>
    <m/>
  </r>
  <r>
    <x v="18"/>
    <s v="perception"/>
    <x v="0"/>
    <n v="2025"/>
    <n v="6"/>
    <m/>
    <m/>
    <s v="3"/>
    <m/>
    <n v="0"/>
    <m/>
    <m/>
    <n v="3"/>
    <m/>
    <m/>
    <m/>
    <m/>
  </r>
  <r>
    <x v="18"/>
    <s v="performance"/>
    <x v="1"/>
    <n v="2025"/>
    <n v="7"/>
    <s v="BAR_SECOND_HIGHEST"/>
    <s v="Race/Color"/>
    <s v="Race/Color"/>
    <b v="1"/>
    <n v="1"/>
    <n v="6.6216039657592773"/>
    <b v="0"/>
    <m/>
    <m/>
    <m/>
    <m/>
    <m/>
  </r>
  <r>
    <x v="18"/>
    <s v="performance"/>
    <x v="1"/>
    <n v="2025"/>
    <n v="8"/>
    <s v="BAR_NUM25"/>
    <s v="Ethnicity/National Origin/Ancestry"/>
    <s v="Ethnicity/National Origin/Ancestry"/>
    <b v="1"/>
    <n v="1"/>
    <n v="7.2476677894592294"/>
    <b v="0"/>
    <m/>
    <m/>
    <m/>
    <m/>
    <m/>
  </r>
  <r>
    <x v="18"/>
    <s v="perception"/>
    <x v="1"/>
    <n v="2025"/>
    <n v="9"/>
    <m/>
    <m/>
    <s v="5"/>
    <m/>
    <n v="0"/>
    <m/>
    <m/>
    <m/>
    <n v="5"/>
    <m/>
    <m/>
    <m/>
  </r>
  <r>
    <x v="18"/>
    <s v="performance"/>
    <x v="3"/>
    <n v="2025"/>
    <n v="10"/>
    <s v="LINE_HIGH_SPIKE"/>
    <s v="Religion/Religious Practice"/>
    <s v="Religion/Religious Practice"/>
    <b v="1"/>
    <n v="1"/>
    <n v="6.9425640106201172"/>
    <b v="0"/>
    <m/>
    <m/>
    <m/>
    <m/>
    <m/>
  </r>
  <r>
    <x v="18"/>
    <s v="performance"/>
    <x v="3"/>
    <n v="2025"/>
    <n v="11"/>
    <s v="LINE_CLOSE_TO_HIGHEST"/>
    <s v="Race/Color"/>
    <s v="Race/Color"/>
    <b v="1"/>
    <n v="1"/>
    <n v="6.6421420574188232"/>
    <b v="0"/>
    <m/>
    <m/>
    <m/>
    <m/>
    <m/>
  </r>
  <r>
    <x v="18"/>
    <s v="perception"/>
    <x v="3"/>
    <n v="2025"/>
    <n v="12"/>
    <m/>
    <m/>
    <s v="5"/>
    <m/>
    <n v="0"/>
    <m/>
    <m/>
    <m/>
    <m/>
    <m/>
    <n v="5"/>
    <m/>
  </r>
  <r>
    <x v="18"/>
    <s v="preference"/>
    <x v="1"/>
    <n v="2025"/>
    <m/>
    <m/>
    <m/>
    <s v="Bar Chart"/>
    <m/>
    <n v="0"/>
    <m/>
    <m/>
    <m/>
    <m/>
    <m/>
    <m/>
    <s v="Bar Chart"/>
  </r>
  <r>
    <x v="19"/>
    <s v="performance"/>
    <x v="2"/>
    <n v="2025"/>
    <n v="1"/>
    <s v="STACK_LOWEST"/>
    <s v="Age"/>
    <m/>
    <b v="0"/>
    <n v="0"/>
    <n v="15"/>
    <b v="1"/>
    <m/>
    <m/>
    <m/>
    <m/>
    <m/>
  </r>
  <r>
    <x v="19"/>
    <s v="performance"/>
    <x v="2"/>
    <n v="2025"/>
    <n v="2"/>
    <s v="STACK_NUM58"/>
    <s v="58"/>
    <m/>
    <b v="0"/>
    <n v="0"/>
    <n v="15"/>
    <b v="1"/>
    <m/>
    <m/>
    <m/>
    <m/>
    <m/>
  </r>
  <r>
    <x v="19"/>
    <s v="perception"/>
    <x v="2"/>
    <n v="2025"/>
    <n v="3"/>
    <m/>
    <m/>
    <s v="1"/>
    <m/>
    <n v="0"/>
    <m/>
    <m/>
    <m/>
    <m/>
    <n v="1"/>
    <m/>
    <m/>
  </r>
  <r>
    <x v="19"/>
    <s v="performance"/>
    <x v="1"/>
    <n v="2025"/>
    <n v="4"/>
    <s v="BAR_SECOND_HIGHEST"/>
    <s v="Race/Color"/>
    <s v="Race/Color"/>
    <b v="1"/>
    <n v="1"/>
    <n v="6.2837891578674316"/>
    <b v="0"/>
    <m/>
    <m/>
    <m/>
    <m/>
    <m/>
  </r>
  <r>
    <x v="19"/>
    <s v="performance"/>
    <x v="1"/>
    <n v="2025"/>
    <n v="5"/>
    <s v="BAR_NUM25"/>
    <s v="Ethnicity/National Origin/Ancestry"/>
    <s v="Ethnicity/National Origin/Ancestry"/>
    <b v="1"/>
    <n v="1"/>
    <n v="6.4183199405670166"/>
    <b v="0"/>
    <m/>
    <m/>
    <m/>
    <m/>
    <m/>
  </r>
  <r>
    <x v="19"/>
    <s v="perception"/>
    <x v="1"/>
    <n v="2025"/>
    <n v="6"/>
    <m/>
    <m/>
    <s v="4"/>
    <m/>
    <n v="0"/>
    <m/>
    <m/>
    <m/>
    <n v="4"/>
    <m/>
    <m/>
    <m/>
  </r>
  <r>
    <x v="19"/>
    <s v="performance"/>
    <x v="0"/>
    <n v="2025"/>
    <n v="7"/>
    <s v="TREEMAP_SECOND_LOWEST"/>
    <s v="Gender"/>
    <s v="Gender"/>
    <b v="1"/>
    <n v="1"/>
    <n v="6.5392370223999023"/>
    <b v="0"/>
    <m/>
    <m/>
    <m/>
    <m/>
    <m/>
  </r>
  <r>
    <x v="19"/>
    <s v="performance"/>
    <x v="0"/>
    <n v="2025"/>
    <n v="8"/>
    <s v="TREEMAP_CLOSE_PAIR"/>
    <s v="Gender &amp; Age"/>
    <m/>
    <b v="0"/>
    <n v="0"/>
    <n v="15"/>
    <b v="1"/>
    <m/>
    <m/>
    <m/>
    <m/>
    <m/>
  </r>
  <r>
    <x v="19"/>
    <s v="perception"/>
    <x v="0"/>
    <n v="2025"/>
    <n v="9"/>
    <m/>
    <m/>
    <s v="3"/>
    <m/>
    <n v="0"/>
    <m/>
    <m/>
    <n v="3"/>
    <m/>
    <m/>
    <m/>
    <m/>
  </r>
  <r>
    <x v="19"/>
    <s v="performance"/>
    <x v="3"/>
    <n v="2025"/>
    <n v="10"/>
    <s v="LINE_HIGH_SPIKE"/>
    <s v="Religion/Religious Practice"/>
    <s v="Religion/Religious Practice"/>
    <b v="1"/>
    <n v="1"/>
    <n v="5.1902780532836914"/>
    <b v="0"/>
    <m/>
    <m/>
    <m/>
    <m/>
    <m/>
  </r>
  <r>
    <x v="19"/>
    <s v="performance"/>
    <x v="3"/>
    <n v="2025"/>
    <n v="11"/>
    <s v="LINE_CLOSE_TO_HIGHEST"/>
    <s v="Race/Color"/>
    <s v="Race/Color"/>
    <b v="1"/>
    <n v="1"/>
    <n v="8.6810429096221924"/>
    <b v="0"/>
    <m/>
    <m/>
    <m/>
    <m/>
    <m/>
  </r>
  <r>
    <x v="19"/>
    <s v="perception"/>
    <x v="3"/>
    <n v="2025"/>
    <n v="12"/>
    <m/>
    <m/>
    <s v="4"/>
    <m/>
    <n v="0"/>
    <m/>
    <m/>
    <m/>
    <m/>
    <m/>
    <n v="4"/>
    <m/>
  </r>
  <r>
    <x v="19"/>
    <s v="preference"/>
    <x v="1"/>
    <n v="2025"/>
    <m/>
    <m/>
    <m/>
    <s v="Bar Chart"/>
    <m/>
    <n v="0"/>
    <m/>
    <m/>
    <m/>
    <m/>
    <m/>
    <m/>
    <s v="Bar Chart"/>
  </r>
  <r>
    <x v="20"/>
    <s v="performance"/>
    <x v="3"/>
    <n v="2025"/>
    <n v="1"/>
    <s v="LINE_HIGH_SPIKE"/>
    <s v="Religion/Religious Practice"/>
    <m/>
    <b v="0"/>
    <n v="0"/>
    <n v="15"/>
    <b v="1"/>
    <m/>
    <m/>
    <m/>
    <m/>
    <m/>
  </r>
  <r>
    <x v="20"/>
    <s v="performance"/>
    <x v="3"/>
    <n v="2025"/>
    <n v="2"/>
    <s v="LINE_CLOSE_TO_HIGHEST"/>
    <s v="Race/Color"/>
    <s v="Gender"/>
    <b v="0"/>
    <n v="0"/>
    <n v="10.531995058059691"/>
    <b v="0"/>
    <m/>
    <m/>
    <m/>
    <m/>
    <m/>
  </r>
  <r>
    <x v="20"/>
    <s v="perception"/>
    <x v="3"/>
    <n v="2025"/>
    <n v="3"/>
    <m/>
    <m/>
    <s v="2"/>
    <m/>
    <n v="0"/>
    <m/>
    <m/>
    <m/>
    <m/>
    <m/>
    <n v="2"/>
    <m/>
  </r>
  <r>
    <x v="20"/>
    <s v="performance"/>
    <x v="0"/>
    <n v="2025"/>
    <n v="4"/>
    <s v="TREEMAP_SECOND_LOWEST"/>
    <s v="Gender"/>
    <s v="Gender"/>
    <b v="1"/>
    <n v="1"/>
    <n v="7.5519289970397949"/>
    <b v="0"/>
    <m/>
    <m/>
    <m/>
    <m/>
    <m/>
  </r>
  <r>
    <x v="20"/>
    <s v="performance"/>
    <x v="0"/>
    <n v="2025"/>
    <n v="5"/>
    <s v="TREEMAP_CLOSE_PAIR"/>
    <s v="Gender &amp; Age"/>
    <m/>
    <b v="0"/>
    <n v="0"/>
    <n v="15"/>
    <b v="1"/>
    <m/>
    <m/>
    <m/>
    <m/>
    <m/>
  </r>
  <r>
    <x v="20"/>
    <s v="perception"/>
    <x v="0"/>
    <n v="2025"/>
    <n v="6"/>
    <m/>
    <m/>
    <s v="3"/>
    <m/>
    <n v="0"/>
    <m/>
    <m/>
    <n v="3"/>
    <m/>
    <m/>
    <m/>
    <m/>
  </r>
  <r>
    <x v="20"/>
    <s v="performance"/>
    <x v="2"/>
    <n v="2025"/>
    <n v="7"/>
    <s v="STACK_LOWEST"/>
    <s v="Age"/>
    <s v="Age"/>
    <b v="1"/>
    <n v="1"/>
    <n v="4.9859180450439453"/>
    <b v="0"/>
    <m/>
    <m/>
    <m/>
    <m/>
    <m/>
  </r>
  <r>
    <x v="20"/>
    <s v="performance"/>
    <x v="2"/>
    <n v="2025"/>
    <n v="8"/>
    <s v="STACK_NUM58"/>
    <s v="58"/>
    <s v="58"/>
    <b v="1"/>
    <n v="1"/>
    <n v="12.898201942443849"/>
    <b v="0"/>
    <m/>
    <m/>
    <m/>
    <m/>
    <m/>
  </r>
  <r>
    <x v="20"/>
    <s v="perception"/>
    <x v="2"/>
    <n v="2025"/>
    <n v="9"/>
    <m/>
    <m/>
    <s v="5"/>
    <m/>
    <n v="0"/>
    <m/>
    <m/>
    <m/>
    <m/>
    <n v="5"/>
    <m/>
    <m/>
  </r>
  <r>
    <x v="20"/>
    <s v="performance"/>
    <x v="1"/>
    <n v="2025"/>
    <n v="10"/>
    <s v="BAR_SECOND_HIGHEST"/>
    <s v="Race/Color"/>
    <s v="Race/Color"/>
    <b v="1"/>
    <n v="1"/>
    <n v="4.1546099185943604"/>
    <b v="0"/>
    <m/>
    <m/>
    <m/>
    <m/>
    <m/>
  </r>
  <r>
    <x v="20"/>
    <s v="performance"/>
    <x v="1"/>
    <n v="2025"/>
    <n v="11"/>
    <s v="BAR_NUM25"/>
    <s v="Ethnicity/National Origin/Ancestry"/>
    <s v="Ethnicity/National Origin/Ancestry"/>
    <b v="1"/>
    <n v="1"/>
    <n v="5.4176318645477286"/>
    <b v="0"/>
    <m/>
    <m/>
    <m/>
    <m/>
    <m/>
  </r>
  <r>
    <x v="20"/>
    <s v="perception"/>
    <x v="1"/>
    <n v="2025"/>
    <n v="12"/>
    <m/>
    <m/>
    <s v="5"/>
    <m/>
    <n v="0"/>
    <m/>
    <m/>
    <m/>
    <n v="5"/>
    <m/>
    <m/>
    <m/>
  </r>
  <r>
    <x v="20"/>
    <s v="preference"/>
    <x v="1"/>
    <n v="2025"/>
    <m/>
    <m/>
    <m/>
    <s v="Bar Chart"/>
    <m/>
    <n v="0"/>
    <m/>
    <m/>
    <m/>
    <m/>
    <m/>
    <m/>
    <s v="Bar Chart"/>
  </r>
  <r>
    <x v="21"/>
    <s v="performance"/>
    <x v="3"/>
    <n v="2025"/>
    <n v="1"/>
    <s v="LINE_HIGH_SPIKE"/>
    <s v="Religion/Religious Practice"/>
    <s v="Religion/Religious Practice"/>
    <b v="1"/>
    <n v="1"/>
    <n v="7.5024428367614746"/>
    <b v="0"/>
    <m/>
    <m/>
    <m/>
    <m/>
    <m/>
  </r>
  <r>
    <x v="21"/>
    <s v="performance"/>
    <x v="3"/>
    <n v="2025"/>
    <n v="2"/>
    <s v="LINE_CLOSE_TO_HIGHEST"/>
    <s v="Race/Color"/>
    <s v="Race/Color"/>
    <b v="1"/>
    <n v="1"/>
    <n v="11.983920097351071"/>
    <b v="0"/>
    <m/>
    <m/>
    <m/>
    <m/>
    <m/>
  </r>
  <r>
    <x v="21"/>
    <s v="perception"/>
    <x v="3"/>
    <n v="2025"/>
    <n v="3"/>
    <m/>
    <m/>
    <s v="4"/>
    <m/>
    <n v="0"/>
    <m/>
    <m/>
    <m/>
    <m/>
    <m/>
    <n v="4"/>
    <m/>
  </r>
  <r>
    <x v="21"/>
    <s v="performance"/>
    <x v="0"/>
    <n v="2025"/>
    <n v="4"/>
    <s v="TREEMAP_SECOND_LOWEST"/>
    <s v="Gender"/>
    <s v="Gender"/>
    <b v="1"/>
    <n v="1"/>
    <n v="6.6698381900787354"/>
    <b v="0"/>
    <m/>
    <m/>
    <m/>
    <m/>
    <m/>
  </r>
  <r>
    <x v="21"/>
    <s v="performance"/>
    <x v="0"/>
    <n v="2025"/>
    <n v="5"/>
    <s v="TREEMAP_CLOSE_PAIR"/>
    <s v="Gender &amp; Age"/>
    <m/>
    <b v="0"/>
    <n v="0"/>
    <n v="15"/>
    <b v="1"/>
    <m/>
    <m/>
    <m/>
    <m/>
    <m/>
  </r>
  <r>
    <x v="21"/>
    <s v="perception"/>
    <x v="0"/>
    <n v="2025"/>
    <n v="6"/>
    <m/>
    <m/>
    <s v="3"/>
    <m/>
    <n v="0"/>
    <m/>
    <m/>
    <n v="3"/>
    <m/>
    <m/>
    <m/>
    <m/>
  </r>
  <r>
    <x v="21"/>
    <s v="performance"/>
    <x v="1"/>
    <n v="2025"/>
    <n v="7"/>
    <s v="BAR_SECOND_HIGHEST"/>
    <s v="Race/Color"/>
    <s v="Race/Color"/>
    <b v="1"/>
    <n v="1"/>
    <n v="4.9860000610351562"/>
    <b v="0"/>
    <m/>
    <m/>
    <m/>
    <m/>
    <m/>
  </r>
  <r>
    <x v="21"/>
    <s v="performance"/>
    <x v="1"/>
    <n v="2025"/>
    <n v="8"/>
    <s v="BAR_NUM25"/>
    <s v="Ethnicity/National Origin/Ancestry"/>
    <s v="Gender"/>
    <b v="0"/>
    <n v="0"/>
    <n v="10.72892117500305"/>
    <b v="0"/>
    <m/>
    <m/>
    <m/>
    <m/>
    <m/>
  </r>
  <r>
    <x v="21"/>
    <s v="perception"/>
    <x v="1"/>
    <n v="2025"/>
    <n v="9"/>
    <m/>
    <m/>
    <s v="2"/>
    <m/>
    <n v="0"/>
    <m/>
    <m/>
    <m/>
    <n v="2"/>
    <m/>
    <m/>
    <m/>
  </r>
  <r>
    <x v="21"/>
    <s v="performance"/>
    <x v="2"/>
    <n v="2025"/>
    <n v="10"/>
    <s v="STACK_LOWEST"/>
    <s v="Age"/>
    <s v="Age"/>
    <b v="1"/>
    <n v="1"/>
    <n v="4.9013948440551758"/>
    <b v="0"/>
    <m/>
    <m/>
    <m/>
    <m/>
    <m/>
  </r>
  <r>
    <x v="21"/>
    <s v="performance"/>
    <x v="2"/>
    <n v="2025"/>
    <n v="11"/>
    <s v="STACK_NUM58"/>
    <s v="58"/>
    <m/>
    <b v="0"/>
    <n v="0"/>
    <n v="15"/>
    <b v="1"/>
    <m/>
    <m/>
    <m/>
    <m/>
    <m/>
  </r>
  <r>
    <x v="21"/>
    <s v="perception"/>
    <x v="2"/>
    <n v="2025"/>
    <n v="12"/>
    <m/>
    <m/>
    <s v="2"/>
    <m/>
    <n v="0"/>
    <m/>
    <m/>
    <m/>
    <m/>
    <n v="2"/>
    <m/>
    <m/>
  </r>
  <r>
    <x v="21"/>
    <s v="preference"/>
    <x v="1"/>
    <n v="2025"/>
    <m/>
    <m/>
    <m/>
    <s v="Bar Chart"/>
    <m/>
    <n v="0"/>
    <m/>
    <m/>
    <m/>
    <m/>
    <m/>
    <m/>
    <s v="Bar Chart"/>
  </r>
  <r>
    <x v="22"/>
    <s v="performance"/>
    <x v="0"/>
    <n v="2025"/>
    <n v="1"/>
    <s v="TREEMAP_SECOND_LOWEST"/>
    <s v="Gender"/>
    <s v="Race/Color"/>
    <b v="0"/>
    <n v="0"/>
    <n v="4.3273868560791016"/>
    <b v="0"/>
    <m/>
    <m/>
    <m/>
    <m/>
    <m/>
  </r>
  <r>
    <x v="22"/>
    <s v="performance"/>
    <x v="0"/>
    <n v="2025"/>
    <n v="2"/>
    <s v="TREEMAP_CLOSE_PAIR"/>
    <s v="Gender &amp; Age"/>
    <s v="Gender &amp; Age"/>
    <b v="1"/>
    <n v="1"/>
    <n v="11.08037209510803"/>
    <b v="0"/>
    <m/>
    <m/>
    <m/>
    <m/>
    <m/>
  </r>
  <r>
    <x v="22"/>
    <s v="perception"/>
    <x v="0"/>
    <n v="2025"/>
    <n v="3"/>
    <m/>
    <m/>
    <s v="4"/>
    <m/>
    <n v="0"/>
    <m/>
    <m/>
    <n v="4"/>
    <m/>
    <m/>
    <m/>
    <m/>
  </r>
  <r>
    <x v="22"/>
    <s v="performance"/>
    <x v="2"/>
    <n v="2025"/>
    <n v="4"/>
    <s v="STACK_LOWEST"/>
    <s v="Age"/>
    <s v="Age"/>
    <b v="1"/>
    <n v="1"/>
    <n v="6.5711848735809326"/>
    <b v="0"/>
    <m/>
    <m/>
    <m/>
    <m/>
    <m/>
  </r>
  <r>
    <x v="22"/>
    <s v="performance"/>
    <x v="2"/>
    <n v="2025"/>
    <n v="5"/>
    <s v="STACK_NUM58"/>
    <s v="58"/>
    <m/>
    <b v="0"/>
    <n v="0"/>
    <n v="15"/>
    <b v="1"/>
    <m/>
    <m/>
    <m/>
    <m/>
    <m/>
  </r>
  <r>
    <x v="22"/>
    <s v="perception"/>
    <x v="2"/>
    <n v="2025"/>
    <n v="6"/>
    <m/>
    <m/>
    <s v="3"/>
    <m/>
    <n v="0"/>
    <m/>
    <m/>
    <m/>
    <m/>
    <n v="3"/>
    <m/>
    <m/>
  </r>
  <r>
    <x v="22"/>
    <s v="performance"/>
    <x v="1"/>
    <n v="2025"/>
    <n v="7"/>
    <s v="BAR_SECOND_HIGHEST"/>
    <s v="Race/Color"/>
    <s v="Race/Color"/>
    <b v="1"/>
    <n v="1"/>
    <n v="4.6392757892608643"/>
    <b v="0"/>
    <m/>
    <m/>
    <m/>
    <m/>
    <m/>
  </r>
  <r>
    <x v="22"/>
    <s v="performance"/>
    <x v="1"/>
    <n v="2025"/>
    <n v="8"/>
    <s v="BAR_NUM25"/>
    <s v="Ethnicity/National Origin/Ancestry"/>
    <s v="Ethnicity/National Origin/Ancestry"/>
    <b v="1"/>
    <n v="1"/>
    <n v="12.62939715385437"/>
    <b v="0"/>
    <m/>
    <m/>
    <m/>
    <m/>
    <m/>
  </r>
  <r>
    <x v="22"/>
    <s v="perception"/>
    <x v="1"/>
    <n v="2025"/>
    <n v="9"/>
    <m/>
    <m/>
    <s v="4"/>
    <m/>
    <n v="0"/>
    <m/>
    <m/>
    <m/>
    <n v="4"/>
    <m/>
    <m/>
    <m/>
  </r>
  <r>
    <x v="22"/>
    <s v="perception"/>
    <x v="1"/>
    <n v="2025"/>
    <n v="9"/>
    <m/>
    <m/>
    <s v="4"/>
    <m/>
    <n v="0"/>
    <m/>
    <m/>
    <m/>
    <n v="4"/>
    <m/>
    <m/>
    <m/>
  </r>
  <r>
    <x v="22"/>
    <s v="performance"/>
    <x v="3"/>
    <n v="2025"/>
    <n v="11"/>
    <s v="LINE_CLOSE_TO_HIGHEST"/>
    <s v="Race/Color"/>
    <s v="Religion/Religious Practice"/>
    <b v="0"/>
    <n v="0"/>
    <n v="9.8380260467529297"/>
    <b v="0"/>
    <m/>
    <m/>
    <m/>
    <m/>
    <m/>
  </r>
  <r>
    <x v="22"/>
    <s v="perception"/>
    <x v="3"/>
    <n v="2025"/>
    <n v="12"/>
    <m/>
    <m/>
    <s v="3"/>
    <m/>
    <n v="0"/>
    <m/>
    <m/>
    <m/>
    <m/>
    <m/>
    <n v="3"/>
    <m/>
  </r>
  <r>
    <x v="22"/>
    <s v="preference"/>
    <x v="1"/>
    <n v="2025"/>
    <m/>
    <m/>
    <m/>
    <s v="Bar Chart"/>
    <m/>
    <n v="0"/>
    <m/>
    <m/>
    <m/>
    <m/>
    <m/>
    <m/>
    <s v="Bar Chart"/>
  </r>
  <r>
    <x v="23"/>
    <s v="performance"/>
    <x v="1"/>
    <n v="2025"/>
    <n v="1"/>
    <s v="BAR_SECOND_HIGHEST"/>
    <s v="Race/Color"/>
    <s v="Race/Color"/>
    <b v="1"/>
    <n v="1"/>
    <n v="7.3157610893249512"/>
    <b v="0"/>
    <m/>
    <m/>
    <m/>
    <m/>
    <m/>
  </r>
  <r>
    <x v="23"/>
    <s v="performance"/>
    <x v="1"/>
    <n v="2025"/>
    <n v="2"/>
    <s v="BAR_NUM25"/>
    <s v="Ethnicity/National Origin/Ancestry"/>
    <s v="Ethnicity/National Origin/Ancestry"/>
    <b v="1"/>
    <n v="1"/>
    <n v="10.64699292182922"/>
    <b v="0"/>
    <m/>
    <m/>
    <m/>
    <m/>
    <m/>
  </r>
  <r>
    <x v="23"/>
    <s v="perception"/>
    <x v="1"/>
    <n v="2025"/>
    <n v="3"/>
    <m/>
    <m/>
    <s v="4"/>
    <m/>
    <n v="0"/>
    <m/>
    <m/>
    <m/>
    <n v="4"/>
    <m/>
    <m/>
    <m/>
  </r>
  <r>
    <x v="23"/>
    <s v="performance"/>
    <x v="0"/>
    <n v="2025"/>
    <n v="4"/>
    <s v="TREEMAP_SECOND_LOWEST"/>
    <s v="Gender"/>
    <s v="Gender"/>
    <b v="1"/>
    <n v="1"/>
    <n v="8.3865740299224854"/>
    <b v="0"/>
    <m/>
    <m/>
    <m/>
    <m/>
    <m/>
  </r>
  <r>
    <x v="23"/>
    <s v="performance"/>
    <x v="0"/>
    <n v="2025"/>
    <n v="5"/>
    <s v="TREEMAP_CLOSE_PAIR"/>
    <s v="Gender &amp; Age"/>
    <s v="Ethnicity/National Origin/Ancestry &amp; Gender"/>
    <b v="0"/>
    <n v="0"/>
    <n v="14.52257013320923"/>
    <b v="0"/>
    <m/>
    <m/>
    <m/>
    <m/>
    <m/>
  </r>
  <r>
    <x v="23"/>
    <s v="perception"/>
    <x v="0"/>
    <n v="2025"/>
    <n v="6"/>
    <m/>
    <m/>
    <s v="3"/>
    <m/>
    <n v="0"/>
    <m/>
    <m/>
    <n v="3"/>
    <m/>
    <m/>
    <m/>
    <m/>
  </r>
  <r>
    <x v="23"/>
    <s v="performance"/>
    <x v="2"/>
    <n v="2025"/>
    <n v="7"/>
    <s v="STACK_LOWEST"/>
    <s v="Age"/>
    <s v="Age"/>
    <b v="1"/>
    <n v="1"/>
    <n v="4.3160860538482666"/>
    <b v="0"/>
    <m/>
    <m/>
    <m/>
    <m/>
    <m/>
  </r>
  <r>
    <x v="23"/>
    <s v="performance"/>
    <x v="2"/>
    <n v="2025"/>
    <n v="8"/>
    <s v="STACK_NUM58"/>
    <s v="58"/>
    <s v="46"/>
    <b v="0"/>
    <n v="0"/>
    <n v="14.22504711151123"/>
    <b v="0"/>
    <m/>
    <m/>
    <m/>
    <m/>
    <m/>
  </r>
  <r>
    <x v="23"/>
    <s v="perception"/>
    <x v="2"/>
    <n v="2025"/>
    <n v="9"/>
    <m/>
    <m/>
    <s v="3"/>
    <m/>
    <n v="0"/>
    <m/>
    <m/>
    <m/>
    <m/>
    <n v="3"/>
    <m/>
    <m/>
  </r>
  <r>
    <x v="23"/>
    <s v="performance"/>
    <x v="3"/>
    <n v="2025"/>
    <n v="10"/>
    <s v="LINE_HIGH_SPIKE"/>
    <s v="Religion/Religious Practice"/>
    <s v="Religion/Religious Practice"/>
    <b v="1"/>
    <n v="1"/>
    <n v="4.1324529647827148"/>
    <b v="0"/>
    <m/>
    <m/>
    <m/>
    <m/>
    <m/>
  </r>
  <r>
    <x v="23"/>
    <s v="performance"/>
    <x v="3"/>
    <n v="2025"/>
    <n v="11"/>
    <s v="LINE_CLOSE_TO_HIGHEST"/>
    <s v="Race/Color"/>
    <s v="Race/Color"/>
    <b v="1"/>
    <n v="1"/>
    <n v="3.5654408931732182"/>
    <b v="0"/>
    <m/>
    <m/>
    <m/>
    <m/>
    <m/>
  </r>
  <r>
    <x v="23"/>
    <s v="perception"/>
    <x v="3"/>
    <n v="2025"/>
    <n v="12"/>
    <m/>
    <m/>
    <s v="5"/>
    <m/>
    <n v="0"/>
    <m/>
    <m/>
    <m/>
    <m/>
    <m/>
    <n v="5"/>
    <m/>
  </r>
  <r>
    <x v="23"/>
    <s v="preference"/>
    <x v="3"/>
    <n v="2025"/>
    <m/>
    <m/>
    <m/>
    <s v="Line Graph"/>
    <m/>
    <n v="0"/>
    <m/>
    <m/>
    <m/>
    <m/>
    <m/>
    <m/>
    <s v="Line Graph"/>
  </r>
  <r>
    <x v="24"/>
    <s v="performance"/>
    <x v="1"/>
    <n v="2025"/>
    <n v="1"/>
    <s v="BAR_SECOND_HIGHEST"/>
    <s v="Race/Color"/>
    <s v="Race/Color"/>
    <b v="1"/>
    <n v="1"/>
    <n v="7.7006049156188956"/>
    <b v="0"/>
    <m/>
    <m/>
    <m/>
    <m/>
    <m/>
  </r>
  <r>
    <x v="24"/>
    <s v="performance"/>
    <x v="1"/>
    <n v="2025"/>
    <n v="2"/>
    <s v="BAR_NUM25"/>
    <s v="Ethnicity/National Origin/Ancestry"/>
    <s v="Ethnicity/National Origin/Ancestry"/>
    <b v="1"/>
    <n v="1"/>
    <n v="8.4467828273773193"/>
    <b v="0"/>
    <m/>
    <m/>
    <m/>
    <m/>
    <m/>
  </r>
  <r>
    <x v="24"/>
    <s v="perception"/>
    <x v="1"/>
    <n v="2025"/>
    <n v="3"/>
    <m/>
    <m/>
    <s v="4"/>
    <m/>
    <n v="0"/>
    <m/>
    <m/>
    <m/>
    <n v="4"/>
    <m/>
    <m/>
    <m/>
  </r>
  <r>
    <x v="24"/>
    <s v="performance"/>
    <x v="3"/>
    <n v="2025"/>
    <n v="4"/>
    <s v="LINE_HIGH_SPIKE"/>
    <s v="Religion/Religious Practice"/>
    <s v="Religion/Religious Practice"/>
    <b v="1"/>
    <n v="1"/>
    <n v="6.4176011085510254"/>
    <b v="0"/>
    <m/>
    <m/>
    <m/>
    <m/>
    <m/>
  </r>
  <r>
    <x v="24"/>
    <s v="performance"/>
    <x v="3"/>
    <n v="2025"/>
    <n v="5"/>
    <s v="LINE_CLOSE_TO_HIGHEST"/>
    <s v="Race/Color"/>
    <s v="Race/Color"/>
    <b v="1"/>
    <n v="1"/>
    <n v="6.9499871730804443"/>
    <b v="0"/>
    <m/>
    <m/>
    <m/>
    <m/>
    <m/>
  </r>
  <r>
    <x v="24"/>
    <s v="perception"/>
    <x v="3"/>
    <n v="2025"/>
    <n v="6"/>
    <m/>
    <m/>
    <s v="3"/>
    <m/>
    <n v="0"/>
    <m/>
    <m/>
    <m/>
    <m/>
    <m/>
    <n v="3"/>
    <m/>
  </r>
  <r>
    <x v="24"/>
    <s v="performance"/>
    <x v="0"/>
    <n v="2025"/>
    <n v="7"/>
    <s v="TREEMAP_SECOND_LOWEST"/>
    <s v="Gender"/>
    <s v="Gender"/>
    <b v="1"/>
    <n v="1"/>
    <n v="8.4378349781036377"/>
    <b v="0"/>
    <m/>
    <m/>
    <m/>
    <m/>
    <m/>
  </r>
  <r>
    <x v="24"/>
    <s v="performance"/>
    <x v="0"/>
    <n v="2025"/>
    <n v="8"/>
    <s v="TREEMAP_CLOSE_PAIR"/>
    <s v="Gender &amp; Age"/>
    <m/>
    <b v="0"/>
    <n v="0"/>
    <n v="15"/>
    <b v="1"/>
    <m/>
    <m/>
    <m/>
    <m/>
    <m/>
  </r>
  <r>
    <x v="24"/>
    <s v="perception"/>
    <x v="0"/>
    <n v="2025"/>
    <n v="9"/>
    <m/>
    <m/>
    <s v="3"/>
    <m/>
    <n v="0"/>
    <m/>
    <m/>
    <n v="3"/>
    <m/>
    <m/>
    <m/>
    <m/>
  </r>
  <r>
    <x v="24"/>
    <s v="performance"/>
    <x v="2"/>
    <n v="2025"/>
    <n v="10"/>
    <s v="STACK_LOWEST"/>
    <s v="Age"/>
    <s v="Age"/>
    <b v="1"/>
    <n v="1"/>
    <n v="4.2016880512237549"/>
    <b v="0"/>
    <m/>
    <m/>
    <m/>
    <m/>
    <m/>
  </r>
  <r>
    <x v="24"/>
    <s v="performance"/>
    <x v="2"/>
    <n v="2025"/>
    <n v="11"/>
    <s v="STACK_NUM58"/>
    <s v="58"/>
    <s v="46"/>
    <b v="0"/>
    <n v="0"/>
    <n v="13.07082200050354"/>
    <b v="0"/>
    <m/>
    <m/>
    <m/>
    <m/>
    <m/>
  </r>
  <r>
    <x v="24"/>
    <s v="perception"/>
    <x v="2"/>
    <n v="2025"/>
    <n v="12"/>
    <m/>
    <m/>
    <s v="2"/>
    <m/>
    <n v="0"/>
    <m/>
    <m/>
    <m/>
    <m/>
    <n v="2"/>
    <m/>
    <m/>
  </r>
  <r>
    <x v="24"/>
    <s v="preference"/>
    <x v="2"/>
    <n v="2025"/>
    <m/>
    <m/>
    <m/>
    <s v="Line Graph"/>
    <m/>
    <n v="0"/>
    <m/>
    <m/>
    <m/>
    <m/>
    <m/>
    <m/>
    <s v="Line Graph"/>
  </r>
  <r>
    <x v="25"/>
    <s v="performance"/>
    <x v="1"/>
    <n v="2025"/>
    <n v="1"/>
    <s v="BAR_SECOND_HIGHEST"/>
    <s v="Race/Color"/>
    <s v="Race/Color"/>
    <b v="1"/>
    <n v="1"/>
    <n v="4.9830999374389648"/>
    <b v="0"/>
    <m/>
    <m/>
    <m/>
    <m/>
    <m/>
  </r>
  <r>
    <x v="25"/>
    <s v="performance"/>
    <x v="1"/>
    <n v="2025"/>
    <n v="2"/>
    <s v="BAR_NUM25"/>
    <s v="Ethnicity/National Origin/Ancestry"/>
    <s v="Ethnicity/National Origin/Ancestry"/>
    <b v="1"/>
    <n v="1"/>
    <n v="5.5972559452056876"/>
    <b v="0"/>
    <m/>
    <m/>
    <m/>
    <m/>
    <m/>
  </r>
  <r>
    <x v="25"/>
    <s v="perception"/>
    <x v="1"/>
    <n v="2025"/>
    <n v="3"/>
    <m/>
    <m/>
    <s v="5"/>
    <m/>
    <n v="0"/>
    <m/>
    <m/>
    <m/>
    <n v="5"/>
    <m/>
    <m/>
    <m/>
  </r>
  <r>
    <x v="25"/>
    <s v="performance"/>
    <x v="0"/>
    <n v="2025"/>
    <n v="4"/>
    <s v="TREEMAP_SECOND_LOWEST"/>
    <s v="Gender"/>
    <s v="Gender"/>
    <b v="1"/>
    <n v="1"/>
    <n v="6.580470085144043"/>
    <b v="0"/>
    <m/>
    <m/>
    <m/>
    <m/>
    <m/>
  </r>
  <r>
    <x v="25"/>
    <s v="performance"/>
    <x v="0"/>
    <n v="2025"/>
    <n v="5"/>
    <s v="TREEMAP_CLOSE_PAIR"/>
    <s v="Gender &amp; Age"/>
    <m/>
    <b v="0"/>
    <n v="0"/>
    <n v="15"/>
    <b v="1"/>
    <m/>
    <m/>
    <m/>
    <m/>
    <m/>
  </r>
  <r>
    <x v="25"/>
    <s v="perception"/>
    <x v="0"/>
    <n v="2025"/>
    <n v="6"/>
    <m/>
    <m/>
    <s v="1"/>
    <m/>
    <n v="0"/>
    <m/>
    <m/>
    <n v="1"/>
    <m/>
    <m/>
    <m/>
    <m/>
  </r>
  <r>
    <x v="25"/>
    <s v="performance"/>
    <x v="3"/>
    <n v="2025"/>
    <n v="7"/>
    <s v="LINE_HIGH_SPIKE"/>
    <s v="Religion/Religious Practice"/>
    <s v="Religion/Religious Practice"/>
    <b v="1"/>
    <n v="1"/>
    <n v="7.9344189167022714"/>
    <b v="0"/>
    <m/>
    <m/>
    <m/>
    <m/>
    <m/>
  </r>
  <r>
    <x v="25"/>
    <s v="performance"/>
    <x v="3"/>
    <n v="2025"/>
    <n v="8"/>
    <s v="LINE_CLOSE_TO_HIGHEST"/>
    <s v="Race/Color"/>
    <s v="Race/Color"/>
    <b v="1"/>
    <n v="1"/>
    <n v="6.1858999729156494"/>
    <b v="0"/>
    <m/>
    <m/>
    <m/>
    <m/>
    <m/>
  </r>
  <r>
    <x v="25"/>
    <s v="perception"/>
    <x v="3"/>
    <n v="2025"/>
    <n v="9"/>
    <m/>
    <m/>
    <s v="4"/>
    <m/>
    <n v="0"/>
    <m/>
    <m/>
    <m/>
    <m/>
    <m/>
    <n v="4"/>
    <m/>
  </r>
  <r>
    <x v="25"/>
    <s v="performance"/>
    <x v="2"/>
    <n v="2025"/>
    <n v="10"/>
    <s v="STACK_LOWEST"/>
    <s v="Age"/>
    <s v="Age"/>
    <b v="1"/>
    <n v="1"/>
    <n v="3.402587890625"/>
    <b v="0"/>
    <m/>
    <m/>
    <m/>
    <m/>
    <m/>
  </r>
  <r>
    <x v="25"/>
    <s v="performance"/>
    <x v="2"/>
    <n v="2025"/>
    <n v="11"/>
    <s v="STACK_NUM58"/>
    <s v="58"/>
    <m/>
    <b v="0"/>
    <n v="0"/>
    <n v="15"/>
    <b v="1"/>
    <m/>
    <m/>
    <m/>
    <m/>
    <m/>
  </r>
  <r>
    <x v="25"/>
    <s v="perception"/>
    <x v="2"/>
    <n v="2025"/>
    <n v="12"/>
    <m/>
    <m/>
    <s v="3"/>
    <m/>
    <n v="0"/>
    <m/>
    <m/>
    <m/>
    <m/>
    <n v="3"/>
    <m/>
    <m/>
  </r>
  <r>
    <x v="25"/>
    <s v="preference"/>
    <x v="1"/>
    <n v="2025"/>
    <m/>
    <m/>
    <m/>
    <s v="Bar Chart"/>
    <m/>
    <n v="0"/>
    <m/>
    <m/>
    <m/>
    <m/>
    <m/>
    <m/>
    <s v="Bar Chart"/>
  </r>
  <r>
    <x v="26"/>
    <s v="performance"/>
    <x v="2"/>
    <n v="2025"/>
    <n v="1"/>
    <s v="STACK_LOWEST"/>
    <s v="Age"/>
    <m/>
    <b v="0"/>
    <n v="0"/>
    <n v="15"/>
    <b v="1"/>
    <m/>
    <m/>
    <m/>
    <m/>
    <m/>
  </r>
  <r>
    <x v="26"/>
    <s v="performance"/>
    <x v="2"/>
    <n v="2025"/>
    <n v="2"/>
    <s v="STACK_NUM58"/>
    <s v="58"/>
    <s v="39"/>
    <b v="0"/>
    <n v="0"/>
    <n v="13.11967706680298"/>
    <b v="0"/>
    <m/>
    <m/>
    <m/>
    <m/>
    <m/>
  </r>
  <r>
    <x v="26"/>
    <s v="perception"/>
    <x v="2"/>
    <n v="2025"/>
    <n v="3"/>
    <m/>
    <m/>
    <s v="4"/>
    <m/>
    <n v="0"/>
    <m/>
    <m/>
    <m/>
    <m/>
    <n v="4"/>
    <m/>
    <m/>
  </r>
  <r>
    <x v="26"/>
    <s v="performance"/>
    <x v="3"/>
    <n v="2025"/>
    <n v="4"/>
    <s v="LINE_HIGH_SPIKE"/>
    <s v="Religion/Religious Practice"/>
    <s v="Religion/Religious Practice"/>
    <b v="1"/>
    <n v="1"/>
    <n v="7.1893420219421387"/>
    <b v="0"/>
    <m/>
    <m/>
    <m/>
    <m/>
    <m/>
  </r>
  <r>
    <x v="26"/>
    <s v="performance"/>
    <x v="3"/>
    <n v="2025"/>
    <n v="5"/>
    <s v="LINE_CLOSE_TO_HIGHEST"/>
    <s v="Race/Color"/>
    <s v="Religion/Religious Practice"/>
    <b v="0"/>
    <n v="0"/>
    <n v="9.499539852142334"/>
    <b v="0"/>
    <m/>
    <m/>
    <m/>
    <m/>
    <m/>
  </r>
  <r>
    <x v="26"/>
    <s v="perception"/>
    <x v="3"/>
    <n v="2025"/>
    <n v="6"/>
    <m/>
    <m/>
    <s v="5"/>
    <m/>
    <n v="0"/>
    <m/>
    <m/>
    <m/>
    <m/>
    <m/>
    <n v="5"/>
    <m/>
  </r>
  <r>
    <x v="26"/>
    <s v="performance"/>
    <x v="0"/>
    <n v="2025"/>
    <n v="7"/>
    <s v="TREEMAP_SECOND_LOWEST"/>
    <s v="Gender"/>
    <s v="Gender"/>
    <b v="1"/>
    <n v="1"/>
    <n v="6.8436641693115234"/>
    <b v="0"/>
    <m/>
    <m/>
    <m/>
    <m/>
    <m/>
  </r>
  <r>
    <x v="26"/>
    <s v="performance"/>
    <x v="0"/>
    <n v="2025"/>
    <n v="8"/>
    <s v="TREEMAP_CLOSE_PAIR"/>
    <s v="Gender &amp; Age"/>
    <s v="Race/Color &amp; Gender"/>
    <b v="0"/>
    <n v="0"/>
    <n v="10.197268009185789"/>
    <b v="0"/>
    <m/>
    <m/>
    <m/>
    <m/>
    <m/>
  </r>
  <r>
    <x v="26"/>
    <s v="perception"/>
    <x v="0"/>
    <n v="2025"/>
    <n v="9"/>
    <m/>
    <m/>
    <s v="4"/>
    <m/>
    <n v="0"/>
    <m/>
    <m/>
    <n v="4"/>
    <m/>
    <m/>
    <m/>
    <m/>
  </r>
  <r>
    <x v="26"/>
    <s v="performance"/>
    <x v="1"/>
    <n v="2025"/>
    <n v="10"/>
    <s v="BAR_SECOND_HIGHEST"/>
    <s v="Race/Color"/>
    <s v="Race/Color"/>
    <b v="1"/>
    <n v="1"/>
    <n v="6.6164510250091553"/>
    <b v="0"/>
    <m/>
    <m/>
    <m/>
    <m/>
    <m/>
  </r>
  <r>
    <x v="26"/>
    <s v="performance"/>
    <x v="1"/>
    <n v="2025"/>
    <n v="11"/>
    <s v="BAR_NUM25"/>
    <s v="Ethnicity/National Origin/Ancestry"/>
    <s v="Race/Color"/>
    <b v="0"/>
    <n v="0"/>
    <n v="7.5420069694519043"/>
    <b v="0"/>
    <m/>
    <m/>
    <m/>
    <m/>
    <m/>
  </r>
  <r>
    <x v="26"/>
    <s v="perception"/>
    <x v="1"/>
    <n v="2025"/>
    <n v="12"/>
    <m/>
    <m/>
    <s v="5"/>
    <m/>
    <n v="0"/>
    <m/>
    <m/>
    <m/>
    <n v="5"/>
    <m/>
    <m/>
    <m/>
  </r>
  <r>
    <x v="26"/>
    <s v="preference"/>
    <x v="3"/>
    <n v="2025"/>
    <m/>
    <m/>
    <m/>
    <s v="Line Graph"/>
    <m/>
    <n v="0"/>
    <m/>
    <m/>
    <m/>
    <m/>
    <m/>
    <m/>
    <s v="Line Graph"/>
  </r>
  <r>
    <x v="27"/>
    <s v="performance"/>
    <x v="0"/>
    <n v="2025"/>
    <n v="1"/>
    <s v="TREEMAP_SECOND_LOWEST"/>
    <s v="Gender"/>
    <s v="Race/Color"/>
    <b v="0"/>
    <n v="0"/>
    <n v="4.9923980236053467"/>
    <b v="0"/>
    <m/>
    <m/>
    <m/>
    <m/>
    <m/>
  </r>
  <r>
    <x v="27"/>
    <s v="performance"/>
    <x v="0"/>
    <n v="2025"/>
    <n v="2"/>
    <s v="TREEMAP_CLOSE_PAIR"/>
    <s v="Gender &amp; Age"/>
    <m/>
    <b v="0"/>
    <n v="0"/>
    <n v="15"/>
    <b v="1"/>
    <m/>
    <m/>
    <m/>
    <m/>
    <m/>
  </r>
  <r>
    <x v="27"/>
    <s v="perception"/>
    <x v="0"/>
    <n v="2025"/>
    <n v="3"/>
    <m/>
    <m/>
    <s v="4"/>
    <m/>
    <n v="0"/>
    <m/>
    <m/>
    <n v="4"/>
    <m/>
    <m/>
    <m/>
    <m/>
  </r>
  <r>
    <x v="27"/>
    <s v="performance"/>
    <x v="1"/>
    <n v="2025"/>
    <n v="4"/>
    <s v="BAR_SECOND_HIGHEST"/>
    <s v="Race/Color"/>
    <s v="Race/Color"/>
    <b v="1"/>
    <n v="1"/>
    <n v="6.2846689224243164"/>
    <b v="0"/>
    <m/>
    <m/>
    <m/>
    <m/>
    <m/>
  </r>
  <r>
    <x v="27"/>
    <s v="performance"/>
    <x v="1"/>
    <n v="2025"/>
    <n v="5"/>
    <s v="BAR_NUM25"/>
    <s v="Ethnicity/National Origin/Ancestry"/>
    <s v="Sexual Orientation"/>
    <b v="0"/>
    <n v="0"/>
    <n v="9.4270730018615723"/>
    <b v="0"/>
    <m/>
    <m/>
    <m/>
    <m/>
    <m/>
  </r>
  <r>
    <x v="27"/>
    <s v="perception"/>
    <x v="1"/>
    <n v="2025"/>
    <n v="6"/>
    <m/>
    <m/>
    <s v="4"/>
    <m/>
    <n v="0"/>
    <m/>
    <m/>
    <m/>
    <n v="4"/>
    <m/>
    <m/>
    <m/>
  </r>
  <r>
    <x v="27"/>
    <s v="performance"/>
    <x v="2"/>
    <n v="2025"/>
    <n v="7"/>
    <s v="STACK_LOWEST"/>
    <s v="Age"/>
    <s v="Age"/>
    <b v="1"/>
    <n v="1"/>
    <n v="6.3020670413970947"/>
    <b v="0"/>
    <m/>
    <m/>
    <m/>
    <m/>
    <m/>
  </r>
  <r>
    <x v="27"/>
    <s v="performance"/>
    <x v="2"/>
    <n v="2025"/>
    <n v="8"/>
    <s v="STACK_NUM58"/>
    <s v="58"/>
    <m/>
    <b v="0"/>
    <n v="0"/>
    <n v="15"/>
    <b v="1"/>
    <m/>
    <m/>
    <m/>
    <m/>
    <m/>
  </r>
  <r>
    <x v="27"/>
    <s v="perception"/>
    <x v="2"/>
    <n v="2025"/>
    <n v="9"/>
    <m/>
    <m/>
    <s v="2"/>
    <m/>
    <n v="0"/>
    <m/>
    <m/>
    <m/>
    <m/>
    <n v="2"/>
    <m/>
    <m/>
  </r>
  <r>
    <x v="27"/>
    <s v="performance"/>
    <x v="3"/>
    <n v="2025"/>
    <n v="10"/>
    <s v="LINE_HIGH_SPIKE"/>
    <s v="Religion/Religious Practice"/>
    <s v="Religion/Religious Practice"/>
    <b v="1"/>
    <n v="1"/>
    <n v="4.6830270290374756"/>
    <b v="0"/>
    <m/>
    <m/>
    <m/>
    <m/>
    <m/>
  </r>
  <r>
    <x v="27"/>
    <s v="performance"/>
    <x v="3"/>
    <n v="2025"/>
    <n v="11"/>
    <s v="LINE_CLOSE_TO_HIGHEST"/>
    <s v="Race/Color"/>
    <s v="Race/Color"/>
    <b v="1"/>
    <n v="1"/>
    <n v="4.1844549179077148"/>
    <b v="0"/>
    <m/>
    <m/>
    <m/>
    <m/>
    <m/>
  </r>
  <r>
    <x v="27"/>
    <s v="perception"/>
    <x v="3"/>
    <n v="2025"/>
    <n v="12"/>
    <m/>
    <m/>
    <s v="5"/>
    <m/>
    <n v="0"/>
    <m/>
    <m/>
    <m/>
    <m/>
    <m/>
    <n v="5"/>
    <m/>
  </r>
  <r>
    <x v="27"/>
    <s v="preference"/>
    <x v="3"/>
    <n v="2025"/>
    <m/>
    <m/>
    <m/>
    <s v="Line Graph"/>
    <m/>
    <n v="0"/>
    <m/>
    <m/>
    <m/>
    <m/>
    <m/>
    <m/>
    <s v="Line Graph"/>
  </r>
  <r>
    <x v="28"/>
    <s v="performance"/>
    <x v="1"/>
    <n v="2025"/>
    <n v="1"/>
    <s v="BAR_SECOND_HIGHEST"/>
    <s v="Race/Color"/>
    <s v="Race/Color"/>
    <b v="1"/>
    <n v="1"/>
    <n v="5.4862961769104004"/>
    <b v="0"/>
    <m/>
    <m/>
    <m/>
    <m/>
    <m/>
  </r>
  <r>
    <x v="28"/>
    <s v="performance"/>
    <x v="1"/>
    <n v="2025"/>
    <n v="2"/>
    <s v="BAR_NUM25"/>
    <s v="Ethnicity/National Origin/Ancestry"/>
    <m/>
    <b v="0"/>
    <n v="0"/>
    <n v="15"/>
    <b v="1"/>
    <m/>
    <m/>
    <m/>
    <m/>
    <m/>
  </r>
  <r>
    <x v="28"/>
    <s v="perception"/>
    <x v="1"/>
    <n v="2025"/>
    <n v="3"/>
    <m/>
    <m/>
    <s v="3"/>
    <m/>
    <n v="0"/>
    <m/>
    <m/>
    <m/>
    <n v="3"/>
    <m/>
    <m/>
    <m/>
  </r>
  <r>
    <x v="28"/>
    <s v="performance"/>
    <x v="2"/>
    <n v="2025"/>
    <n v="4"/>
    <s v="STACK_LOWEST"/>
    <s v="Age"/>
    <s v="Age"/>
    <b v="1"/>
    <n v="1"/>
    <n v="6.3674008846282959"/>
    <b v="0"/>
    <m/>
    <m/>
    <m/>
    <m/>
    <m/>
  </r>
  <r>
    <x v="28"/>
    <s v="performance"/>
    <x v="2"/>
    <n v="2025"/>
    <n v="5"/>
    <s v="STACK_NUM58"/>
    <s v="58"/>
    <m/>
    <b v="0"/>
    <n v="0"/>
    <n v="15"/>
    <b v="1"/>
    <m/>
    <m/>
    <m/>
    <m/>
    <m/>
  </r>
  <r>
    <x v="28"/>
    <s v="perception"/>
    <x v="2"/>
    <n v="2025"/>
    <n v="6"/>
    <m/>
    <m/>
    <s v="1"/>
    <m/>
    <n v="0"/>
    <m/>
    <m/>
    <m/>
    <m/>
    <n v="1"/>
    <m/>
    <m/>
  </r>
  <r>
    <x v="28"/>
    <s v="performance"/>
    <x v="0"/>
    <n v="2025"/>
    <n v="7"/>
    <s v="TREEMAP_SECOND_LOWEST"/>
    <s v="Gender"/>
    <s v="Race/Color"/>
    <b v="0"/>
    <n v="0"/>
    <n v="8.6514749526977539"/>
    <b v="0"/>
    <m/>
    <m/>
    <m/>
    <m/>
    <m/>
  </r>
  <r>
    <x v="28"/>
    <s v="performance"/>
    <x v="0"/>
    <n v="2025"/>
    <n v="8"/>
    <s v="TREEMAP_CLOSE_PAIR"/>
    <s v="Gender &amp; Age"/>
    <s v="Gender &amp; Age"/>
    <b v="1"/>
    <n v="1"/>
    <n v="11.6637179851532"/>
    <b v="0"/>
    <m/>
    <m/>
    <m/>
    <m/>
    <m/>
  </r>
  <r>
    <x v="28"/>
    <s v="perception"/>
    <x v="0"/>
    <n v="2025"/>
    <n v="9"/>
    <m/>
    <m/>
    <s v="4"/>
    <m/>
    <n v="0"/>
    <m/>
    <m/>
    <n v="4"/>
    <m/>
    <m/>
    <m/>
    <m/>
  </r>
  <r>
    <x v="28"/>
    <s v="performance"/>
    <x v="3"/>
    <n v="2025"/>
    <n v="10"/>
    <s v="LINE_HIGH_SPIKE"/>
    <s v="Religion/Religious Practice"/>
    <s v="Religion/Religious Practice"/>
    <b v="1"/>
    <n v="1"/>
    <n v="4.9375710487365723"/>
    <b v="0"/>
    <m/>
    <m/>
    <m/>
    <m/>
    <m/>
  </r>
  <r>
    <x v="28"/>
    <s v="performance"/>
    <x v="3"/>
    <n v="2025"/>
    <n v="11"/>
    <s v="LINE_CLOSE_TO_HIGHEST"/>
    <s v="Race/Color"/>
    <s v="Race/Color"/>
    <b v="1"/>
    <n v="1"/>
    <n v="3.928380012512207"/>
    <b v="0"/>
    <m/>
    <m/>
    <m/>
    <m/>
    <m/>
  </r>
  <r>
    <x v="28"/>
    <s v="perception"/>
    <x v="3"/>
    <n v="2025"/>
    <n v="12"/>
    <m/>
    <m/>
    <s v="5"/>
    <m/>
    <n v="0"/>
    <m/>
    <m/>
    <m/>
    <m/>
    <m/>
    <n v="5"/>
    <m/>
  </r>
  <r>
    <x v="28"/>
    <s v="preference"/>
    <x v="3"/>
    <n v="2025"/>
    <m/>
    <m/>
    <m/>
    <s v="Line Graph"/>
    <m/>
    <n v="0"/>
    <m/>
    <m/>
    <m/>
    <m/>
    <m/>
    <m/>
    <s v="Line Graph"/>
  </r>
  <r>
    <x v="29"/>
    <s v="performance"/>
    <x v="3"/>
    <n v="2025"/>
    <n v="1"/>
    <s v="LINE_HIGH_SPIKE"/>
    <s v="Religion/Religious Practice"/>
    <m/>
    <b v="0"/>
    <n v="0"/>
    <n v="15"/>
    <b v="1"/>
    <m/>
    <m/>
    <m/>
    <m/>
    <m/>
  </r>
  <r>
    <x v="29"/>
    <s v="performance"/>
    <x v="3"/>
    <n v="2025"/>
    <n v="2"/>
    <s v="LINE_CLOSE_TO_HIGHEST"/>
    <s v="Race/Color"/>
    <s v="Race/Color"/>
    <b v="1"/>
    <n v="1"/>
    <n v="10.54867911338806"/>
    <b v="0"/>
    <m/>
    <m/>
    <m/>
    <m/>
    <m/>
  </r>
  <r>
    <x v="29"/>
    <s v="perception"/>
    <x v="3"/>
    <n v="2025"/>
    <n v="3"/>
    <m/>
    <m/>
    <s v="5"/>
    <m/>
    <n v="0"/>
    <m/>
    <m/>
    <m/>
    <m/>
    <m/>
    <n v="5"/>
    <m/>
  </r>
  <r>
    <x v="29"/>
    <s v="performance"/>
    <x v="0"/>
    <n v="2025"/>
    <n v="4"/>
    <s v="TREEMAP_SECOND_LOWEST"/>
    <s v="Gender"/>
    <s v="Gender"/>
    <b v="1"/>
    <n v="1"/>
    <n v="5.8222808837890616"/>
    <b v="0"/>
    <m/>
    <m/>
    <m/>
    <m/>
    <m/>
  </r>
  <r>
    <x v="29"/>
    <s v="performance"/>
    <x v="0"/>
    <n v="2025"/>
    <n v="5"/>
    <s v="TREEMAP_CLOSE_PAIR"/>
    <s v="Gender &amp; Age"/>
    <s v="Ethnicity/National Origin/Ancestry &amp; Gender"/>
    <b v="0"/>
    <n v="0"/>
    <n v="9.7395131587982178"/>
    <b v="0"/>
    <m/>
    <m/>
    <m/>
    <m/>
    <m/>
  </r>
  <r>
    <x v="29"/>
    <s v="perception"/>
    <x v="0"/>
    <n v="2025"/>
    <n v="6"/>
    <m/>
    <m/>
    <s v="4"/>
    <m/>
    <n v="0"/>
    <m/>
    <m/>
    <n v="4"/>
    <m/>
    <m/>
    <m/>
    <m/>
  </r>
  <r>
    <x v="29"/>
    <s v="performance"/>
    <x v="2"/>
    <n v="2025"/>
    <n v="7"/>
    <s v="STACK_LOWEST"/>
    <s v="Age"/>
    <s v="Age"/>
    <b v="1"/>
    <n v="1"/>
    <n v="5.2858679294586182"/>
    <b v="0"/>
    <m/>
    <m/>
    <m/>
    <m/>
    <m/>
  </r>
  <r>
    <x v="29"/>
    <s v="performance"/>
    <x v="2"/>
    <n v="2025"/>
    <n v="8"/>
    <s v="STACK_NUM58"/>
    <s v="58"/>
    <m/>
    <b v="0"/>
    <n v="0"/>
    <n v="15"/>
    <b v="1"/>
    <m/>
    <m/>
    <m/>
    <m/>
    <m/>
  </r>
  <r>
    <x v="29"/>
    <s v="perception"/>
    <x v="2"/>
    <n v="2025"/>
    <n v="9"/>
    <m/>
    <m/>
    <s v="2"/>
    <m/>
    <n v="0"/>
    <m/>
    <m/>
    <m/>
    <m/>
    <n v="2"/>
    <m/>
    <m/>
  </r>
  <r>
    <x v="29"/>
    <s v="performance"/>
    <x v="1"/>
    <n v="2025"/>
    <n v="10"/>
    <s v="BAR_SECOND_HIGHEST"/>
    <s v="Race/Color"/>
    <m/>
    <b v="0"/>
    <n v="0"/>
    <n v="15"/>
    <b v="1"/>
    <m/>
    <m/>
    <m/>
    <m/>
    <m/>
  </r>
  <r>
    <x v="29"/>
    <s v="performance"/>
    <x v="1"/>
    <n v="2025"/>
    <n v="11"/>
    <s v="BAR_NUM25"/>
    <s v="Ethnicity/National Origin/Ancestry"/>
    <s v="Gender"/>
    <b v="0"/>
    <n v="0"/>
    <n v="8.9669480323791504"/>
    <b v="0"/>
    <m/>
    <m/>
    <m/>
    <m/>
    <m/>
  </r>
  <r>
    <x v="29"/>
    <s v="perception"/>
    <x v="1"/>
    <n v="2025"/>
    <n v="12"/>
    <m/>
    <m/>
    <s v="3"/>
    <m/>
    <n v="0"/>
    <m/>
    <m/>
    <m/>
    <n v="3"/>
    <m/>
    <m/>
    <m/>
  </r>
  <r>
    <x v="29"/>
    <s v="preference"/>
    <x v="3"/>
    <n v="2025"/>
    <m/>
    <m/>
    <m/>
    <s v="Line Graph"/>
    <m/>
    <n v="0"/>
    <m/>
    <m/>
    <m/>
    <m/>
    <m/>
    <m/>
    <s v="Line Grap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B4BB-78E7-354D-809B-34FA6F3F5EA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1:B36" firstHeaderRow="1" firstDataRow="1" firstDataCol="1"/>
  <pivotFields count="17"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Average of seconds" fld="10" subtotal="average" baseField="0" baseItem="0"/>
  </dataFields>
  <formats count="2">
    <format dxfId="1">
      <pivotArea collapsedLevelsAreSubtotals="1" fieldPosition="0">
        <references count="1">
          <reference field="2" count="0"/>
        </references>
      </pivotArea>
    </format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9F0DD-2088-2440-944B-B2CB047FE09B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8" firstHeaderRow="1" firstDataRow="1" firstDataCol="1"/>
  <pivotFields count="17"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correct_num" fld="9" subtotal="average" baseField="0" baseItem="0"/>
  </dataFields>
  <formats count="1">
    <format dxfId="2">
      <pivotArea collapsedLevelsAreSubtotals="1" fieldPosition="0">
        <references count="1">
          <reference field="2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7CC1C-5A31-B64F-B8D7-D3B9C8B30B25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1" firstDataRow="2" firstDataCol="1"/>
  <pivotFields count="17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orrect_num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Q391"/>
  <sheetViews>
    <sheetView zoomScale="88" workbookViewId="0">
      <selection sqref="A1:Q391"/>
    </sheetView>
  </sheetViews>
  <sheetFormatPr baseColWidth="10" defaultColWidth="8.83203125" defaultRowHeight="15" x14ac:dyDescent="0.2"/>
  <cols>
    <col min="2" max="2" width="24.6640625" customWidth="1"/>
    <col min="3" max="3" width="27.6640625" customWidth="1"/>
    <col min="4" max="4" width="14.5" customWidth="1"/>
    <col min="5" max="5" width="26.1640625" customWidth="1"/>
    <col min="6" max="6" width="21.83203125" customWidth="1"/>
    <col min="7" max="7" width="26.83203125" customWidth="1"/>
    <col min="8" max="8" width="23" customWidth="1"/>
    <col min="9" max="10" width="23.83203125" customWidth="1"/>
    <col min="11" max="11" width="20.1640625" customWidth="1"/>
    <col min="12" max="12" width="26.5" customWidth="1"/>
    <col min="13" max="13" width="21.5" customWidth="1"/>
    <col min="14" max="14" width="24" customWidth="1"/>
    <col min="15" max="15" width="15.6640625" customWidth="1"/>
    <col min="16" max="16" width="19" customWidth="1"/>
    <col min="17" max="17" width="26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79</v>
      </c>
      <c r="K1" s="1" t="s">
        <v>9</v>
      </c>
      <c r="L1" s="1" t="s">
        <v>10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32</v>
      </c>
    </row>
    <row r="2" spans="1:17" x14ac:dyDescent="0.2">
      <c r="A2" t="s">
        <v>48</v>
      </c>
      <c r="B2" t="s">
        <v>12</v>
      </c>
      <c r="C2" t="s">
        <v>42</v>
      </c>
      <c r="D2">
        <v>2025</v>
      </c>
      <c r="E2">
        <v>1</v>
      </c>
      <c r="F2" t="s">
        <v>24</v>
      </c>
      <c r="G2" t="s">
        <v>25</v>
      </c>
      <c r="H2" t="s">
        <v>25</v>
      </c>
      <c r="I2" t="b">
        <v>1</v>
      </c>
      <c r="J2">
        <f>IF(I2=TRUE, 1, 0)</f>
        <v>1</v>
      </c>
      <c r="K2">
        <v>8.5144248008728027</v>
      </c>
      <c r="L2" t="b">
        <v>0</v>
      </c>
    </row>
    <row r="3" spans="1:17" x14ac:dyDescent="0.2">
      <c r="A3" t="s">
        <v>48</v>
      </c>
      <c r="B3" t="s">
        <v>12</v>
      </c>
      <c r="C3" t="s">
        <v>42</v>
      </c>
      <c r="D3">
        <v>2025</v>
      </c>
      <c r="E3">
        <v>2</v>
      </c>
      <c r="F3" t="s">
        <v>26</v>
      </c>
      <c r="G3" t="s">
        <v>27</v>
      </c>
      <c r="H3" t="s">
        <v>27</v>
      </c>
      <c r="I3" t="b">
        <v>1</v>
      </c>
      <c r="J3">
        <f t="shared" ref="J3:J66" si="0">IF(I3=TRUE, 1, 0)</f>
        <v>1</v>
      </c>
      <c r="K3">
        <v>5.449923038482666</v>
      </c>
      <c r="L3" t="b">
        <v>0</v>
      </c>
    </row>
    <row r="4" spans="1:17" x14ac:dyDescent="0.2">
      <c r="A4" t="s">
        <v>48</v>
      </c>
      <c r="B4" t="s">
        <v>17</v>
      </c>
      <c r="C4" t="s">
        <v>42</v>
      </c>
      <c r="D4">
        <v>2025</v>
      </c>
      <c r="E4">
        <v>3</v>
      </c>
      <c r="H4" t="s">
        <v>23</v>
      </c>
      <c r="J4">
        <f t="shared" si="0"/>
        <v>0</v>
      </c>
      <c r="M4">
        <v>5</v>
      </c>
    </row>
    <row r="5" spans="1:17" x14ac:dyDescent="0.2">
      <c r="A5" t="s">
        <v>48</v>
      </c>
      <c r="B5" t="s">
        <v>12</v>
      </c>
      <c r="C5" t="s">
        <v>37</v>
      </c>
      <c r="D5">
        <v>2025</v>
      </c>
      <c r="E5">
        <v>4</v>
      </c>
      <c r="F5" t="s">
        <v>19</v>
      </c>
      <c r="G5" t="s">
        <v>20</v>
      </c>
      <c r="H5" t="s">
        <v>20</v>
      </c>
      <c r="I5" t="b">
        <v>1</v>
      </c>
      <c r="J5">
        <f t="shared" si="0"/>
        <v>1</v>
      </c>
      <c r="K5">
        <v>5.2964651584625244</v>
      </c>
      <c r="L5" t="b">
        <v>0</v>
      </c>
    </row>
    <row r="6" spans="1:17" x14ac:dyDescent="0.2">
      <c r="A6" t="s">
        <v>48</v>
      </c>
      <c r="B6" t="s">
        <v>12</v>
      </c>
      <c r="C6" t="s">
        <v>37</v>
      </c>
      <c r="D6">
        <v>2025</v>
      </c>
      <c r="E6">
        <v>5</v>
      </c>
      <c r="F6" t="s">
        <v>21</v>
      </c>
      <c r="G6" t="s">
        <v>22</v>
      </c>
      <c r="H6" t="s">
        <v>22</v>
      </c>
      <c r="I6" t="b">
        <v>1</v>
      </c>
      <c r="J6">
        <f t="shared" si="0"/>
        <v>1</v>
      </c>
      <c r="K6">
        <v>4.8858489990234384</v>
      </c>
      <c r="L6" t="b">
        <v>0</v>
      </c>
    </row>
    <row r="7" spans="1:17" x14ac:dyDescent="0.2">
      <c r="A7" t="s">
        <v>48</v>
      </c>
      <c r="B7" t="s">
        <v>17</v>
      </c>
      <c r="C7" t="s">
        <v>37</v>
      </c>
      <c r="D7">
        <v>2025</v>
      </c>
      <c r="E7">
        <v>6</v>
      </c>
      <c r="H7" t="s">
        <v>23</v>
      </c>
      <c r="J7">
        <f t="shared" si="0"/>
        <v>0</v>
      </c>
      <c r="N7">
        <v>5</v>
      </c>
    </row>
    <row r="8" spans="1:17" x14ac:dyDescent="0.2">
      <c r="A8" t="s">
        <v>48</v>
      </c>
      <c r="B8" t="s">
        <v>12</v>
      </c>
      <c r="C8" t="s">
        <v>71</v>
      </c>
      <c r="D8">
        <v>2025</v>
      </c>
      <c r="E8">
        <v>7</v>
      </c>
      <c r="F8" t="s">
        <v>13</v>
      </c>
      <c r="G8" t="s">
        <v>14</v>
      </c>
      <c r="H8" t="s">
        <v>14</v>
      </c>
      <c r="I8" t="b">
        <v>1</v>
      </c>
      <c r="J8">
        <f t="shared" si="0"/>
        <v>1</v>
      </c>
      <c r="K8">
        <v>2.1983151435852051</v>
      </c>
      <c r="L8" t="b">
        <v>0</v>
      </c>
    </row>
    <row r="9" spans="1:17" x14ac:dyDescent="0.2">
      <c r="A9" t="s">
        <v>48</v>
      </c>
      <c r="B9" t="s">
        <v>12</v>
      </c>
      <c r="C9" t="s">
        <v>71</v>
      </c>
      <c r="D9">
        <v>2025</v>
      </c>
      <c r="E9">
        <v>8</v>
      </c>
      <c r="F9" t="s">
        <v>15</v>
      </c>
      <c r="G9" t="s">
        <v>16</v>
      </c>
      <c r="H9" t="s">
        <v>16</v>
      </c>
      <c r="I9" t="b">
        <v>1</v>
      </c>
      <c r="J9">
        <f t="shared" si="0"/>
        <v>1</v>
      </c>
      <c r="K9">
        <v>14.231828927993771</v>
      </c>
      <c r="L9" t="b">
        <v>0</v>
      </c>
    </row>
    <row r="10" spans="1:17" x14ac:dyDescent="0.2">
      <c r="A10" t="s">
        <v>48</v>
      </c>
      <c r="B10" t="s">
        <v>17</v>
      </c>
      <c r="C10" t="s">
        <v>71</v>
      </c>
      <c r="D10">
        <v>2025</v>
      </c>
      <c r="E10">
        <v>9</v>
      </c>
      <c r="H10" t="s">
        <v>35</v>
      </c>
      <c r="J10">
        <f t="shared" si="0"/>
        <v>0</v>
      </c>
      <c r="O10">
        <v>4</v>
      </c>
    </row>
    <row r="11" spans="1:17" x14ac:dyDescent="0.2">
      <c r="A11" t="s">
        <v>48</v>
      </c>
      <c r="B11" t="s">
        <v>12</v>
      </c>
      <c r="C11" t="s">
        <v>33</v>
      </c>
      <c r="D11">
        <v>2025</v>
      </c>
      <c r="E11">
        <v>10</v>
      </c>
      <c r="F11" t="s">
        <v>29</v>
      </c>
      <c r="G11" t="s">
        <v>30</v>
      </c>
      <c r="H11" t="s">
        <v>30</v>
      </c>
      <c r="I11" t="b">
        <v>1</v>
      </c>
      <c r="J11">
        <f t="shared" si="0"/>
        <v>1</v>
      </c>
      <c r="K11">
        <v>6.2394630908966056</v>
      </c>
      <c r="L11" t="b">
        <v>0</v>
      </c>
    </row>
    <row r="12" spans="1:17" x14ac:dyDescent="0.2">
      <c r="A12" t="s">
        <v>48</v>
      </c>
      <c r="B12" t="s">
        <v>12</v>
      </c>
      <c r="C12" t="s">
        <v>33</v>
      </c>
      <c r="D12">
        <v>2025</v>
      </c>
      <c r="E12">
        <v>11</v>
      </c>
      <c r="F12" t="s">
        <v>31</v>
      </c>
      <c r="G12" t="s">
        <v>20</v>
      </c>
      <c r="H12" t="s">
        <v>20</v>
      </c>
      <c r="I12" t="b">
        <v>1</v>
      </c>
      <c r="J12">
        <f t="shared" si="0"/>
        <v>1</v>
      </c>
      <c r="K12">
        <v>2.0035760402679439</v>
      </c>
      <c r="L12" t="b">
        <v>0</v>
      </c>
    </row>
    <row r="13" spans="1:17" x14ac:dyDescent="0.2">
      <c r="A13" t="s">
        <v>48</v>
      </c>
      <c r="B13" t="s">
        <v>17</v>
      </c>
      <c r="C13" t="s">
        <v>33</v>
      </c>
      <c r="D13">
        <v>2025</v>
      </c>
      <c r="E13">
        <v>12</v>
      </c>
      <c r="H13" t="s">
        <v>23</v>
      </c>
      <c r="J13">
        <f t="shared" si="0"/>
        <v>0</v>
      </c>
      <c r="P13">
        <v>5</v>
      </c>
    </row>
    <row r="14" spans="1:17" x14ac:dyDescent="0.2">
      <c r="A14" t="s">
        <v>48</v>
      </c>
      <c r="B14" t="s">
        <v>32</v>
      </c>
      <c r="C14" t="s">
        <v>33</v>
      </c>
      <c r="D14">
        <v>2025</v>
      </c>
      <c r="H14" t="s">
        <v>33</v>
      </c>
      <c r="J14">
        <f t="shared" si="0"/>
        <v>0</v>
      </c>
      <c r="Q14" t="s">
        <v>33</v>
      </c>
    </row>
    <row r="15" spans="1:17" x14ac:dyDescent="0.2">
      <c r="A15" t="s">
        <v>11</v>
      </c>
      <c r="B15" t="s">
        <v>12</v>
      </c>
      <c r="C15" t="s">
        <v>71</v>
      </c>
      <c r="D15">
        <v>2025</v>
      </c>
      <c r="E15">
        <v>1</v>
      </c>
      <c r="F15" t="s">
        <v>13</v>
      </c>
      <c r="G15" t="s">
        <v>14</v>
      </c>
      <c r="H15" t="s">
        <v>14</v>
      </c>
      <c r="I15" t="b">
        <v>1</v>
      </c>
      <c r="J15">
        <f t="shared" si="0"/>
        <v>1</v>
      </c>
      <c r="K15">
        <v>9.579185962677002</v>
      </c>
      <c r="L15" t="b">
        <v>0</v>
      </c>
    </row>
    <row r="16" spans="1:17" x14ac:dyDescent="0.2">
      <c r="A16" t="s">
        <v>11</v>
      </c>
      <c r="B16" t="s">
        <v>12</v>
      </c>
      <c r="C16" t="s">
        <v>71</v>
      </c>
      <c r="D16">
        <v>2025</v>
      </c>
      <c r="E16">
        <v>2</v>
      </c>
      <c r="F16" t="s">
        <v>15</v>
      </c>
      <c r="G16" t="s">
        <v>16</v>
      </c>
      <c r="I16" t="b">
        <v>0</v>
      </c>
      <c r="J16">
        <f t="shared" si="0"/>
        <v>0</v>
      </c>
      <c r="K16">
        <v>15</v>
      </c>
      <c r="L16" t="b">
        <v>1</v>
      </c>
    </row>
    <row r="17" spans="1:17" x14ac:dyDescent="0.2">
      <c r="A17" t="s">
        <v>11</v>
      </c>
      <c r="B17" t="s">
        <v>17</v>
      </c>
      <c r="C17" t="s">
        <v>71</v>
      </c>
      <c r="D17">
        <v>2025</v>
      </c>
      <c r="E17">
        <v>3</v>
      </c>
      <c r="H17" t="s">
        <v>18</v>
      </c>
      <c r="J17">
        <f t="shared" si="0"/>
        <v>0</v>
      </c>
      <c r="M17">
        <v>3</v>
      </c>
    </row>
    <row r="18" spans="1:17" x14ac:dyDescent="0.2">
      <c r="A18" t="s">
        <v>11</v>
      </c>
      <c r="B18" t="s">
        <v>12</v>
      </c>
      <c r="C18" t="s">
        <v>37</v>
      </c>
      <c r="D18">
        <v>2025</v>
      </c>
      <c r="E18">
        <v>4</v>
      </c>
      <c r="F18" t="s">
        <v>19</v>
      </c>
      <c r="G18" t="s">
        <v>20</v>
      </c>
      <c r="H18" t="s">
        <v>20</v>
      </c>
      <c r="I18" t="b">
        <v>1</v>
      </c>
      <c r="J18">
        <f t="shared" si="0"/>
        <v>1</v>
      </c>
      <c r="K18">
        <v>5.4785490036010742</v>
      </c>
      <c r="L18" t="b">
        <v>0</v>
      </c>
    </row>
    <row r="19" spans="1:17" x14ac:dyDescent="0.2">
      <c r="A19" t="s">
        <v>11</v>
      </c>
      <c r="B19" t="s">
        <v>12</v>
      </c>
      <c r="C19" t="s">
        <v>37</v>
      </c>
      <c r="D19">
        <v>2025</v>
      </c>
      <c r="E19">
        <v>5</v>
      </c>
      <c r="F19" t="s">
        <v>21</v>
      </c>
      <c r="G19" t="s">
        <v>22</v>
      </c>
      <c r="H19" t="s">
        <v>22</v>
      </c>
      <c r="I19" t="b">
        <v>1</v>
      </c>
      <c r="J19">
        <f t="shared" si="0"/>
        <v>1</v>
      </c>
      <c r="K19">
        <v>9.0338339805603027</v>
      </c>
      <c r="L19" t="b">
        <v>0</v>
      </c>
    </row>
    <row r="20" spans="1:17" x14ac:dyDescent="0.2">
      <c r="A20" t="s">
        <v>11</v>
      </c>
      <c r="B20" t="s">
        <v>17</v>
      </c>
      <c r="C20" t="s">
        <v>37</v>
      </c>
      <c r="D20">
        <v>2025</v>
      </c>
      <c r="E20">
        <v>6</v>
      </c>
      <c r="H20" t="s">
        <v>23</v>
      </c>
      <c r="J20">
        <f t="shared" si="0"/>
        <v>0</v>
      </c>
      <c r="N20">
        <v>5</v>
      </c>
    </row>
    <row r="21" spans="1:17" x14ac:dyDescent="0.2">
      <c r="A21" t="s">
        <v>11</v>
      </c>
      <c r="B21" t="s">
        <v>12</v>
      </c>
      <c r="C21" t="s">
        <v>42</v>
      </c>
      <c r="D21">
        <v>2025</v>
      </c>
      <c r="E21">
        <v>7</v>
      </c>
      <c r="F21" t="s">
        <v>24</v>
      </c>
      <c r="G21" t="s">
        <v>25</v>
      </c>
      <c r="H21" t="s">
        <v>25</v>
      </c>
      <c r="I21" t="b">
        <v>1</v>
      </c>
      <c r="J21">
        <f t="shared" si="0"/>
        <v>1</v>
      </c>
      <c r="K21">
        <v>6.4069480895996094</v>
      </c>
      <c r="L21" t="b">
        <v>0</v>
      </c>
    </row>
    <row r="22" spans="1:17" x14ac:dyDescent="0.2">
      <c r="A22" t="s">
        <v>11</v>
      </c>
      <c r="B22" t="s">
        <v>12</v>
      </c>
      <c r="C22" t="s">
        <v>42</v>
      </c>
      <c r="D22">
        <v>2025</v>
      </c>
      <c r="E22">
        <v>8</v>
      </c>
      <c r="F22" t="s">
        <v>26</v>
      </c>
      <c r="G22" t="s">
        <v>27</v>
      </c>
      <c r="H22" t="s">
        <v>27</v>
      </c>
      <c r="I22" t="b">
        <v>1</v>
      </c>
      <c r="J22">
        <f t="shared" si="0"/>
        <v>1</v>
      </c>
      <c r="K22">
        <v>14.84477591514587</v>
      </c>
      <c r="L22" t="b">
        <v>0</v>
      </c>
    </row>
    <row r="23" spans="1:17" x14ac:dyDescent="0.2">
      <c r="A23" t="s">
        <v>11</v>
      </c>
      <c r="B23" t="s">
        <v>17</v>
      </c>
      <c r="C23" t="s">
        <v>42</v>
      </c>
      <c r="D23">
        <v>2025</v>
      </c>
      <c r="E23">
        <v>9</v>
      </c>
      <c r="H23" t="s">
        <v>28</v>
      </c>
      <c r="J23">
        <f t="shared" si="0"/>
        <v>0</v>
      </c>
      <c r="O23">
        <v>2</v>
      </c>
    </row>
    <row r="24" spans="1:17" x14ac:dyDescent="0.2">
      <c r="A24" t="s">
        <v>11</v>
      </c>
      <c r="B24" t="s">
        <v>12</v>
      </c>
      <c r="C24" t="s">
        <v>33</v>
      </c>
      <c r="D24">
        <v>2025</v>
      </c>
      <c r="E24">
        <v>10</v>
      </c>
      <c r="F24" t="s">
        <v>29</v>
      </c>
      <c r="G24" t="s">
        <v>30</v>
      </c>
      <c r="H24" t="s">
        <v>30</v>
      </c>
      <c r="I24" t="b">
        <v>1</v>
      </c>
      <c r="J24">
        <f t="shared" si="0"/>
        <v>1</v>
      </c>
      <c r="K24">
        <v>12.448951959609991</v>
      </c>
      <c r="L24" t="b">
        <v>0</v>
      </c>
    </row>
    <row r="25" spans="1:17" x14ac:dyDescent="0.2">
      <c r="A25" t="s">
        <v>11</v>
      </c>
      <c r="B25" t="s">
        <v>12</v>
      </c>
      <c r="C25" t="s">
        <v>33</v>
      </c>
      <c r="D25">
        <v>2025</v>
      </c>
      <c r="E25">
        <v>11</v>
      </c>
      <c r="F25" t="s">
        <v>31</v>
      </c>
      <c r="G25" t="s">
        <v>20</v>
      </c>
      <c r="H25" t="s">
        <v>20</v>
      </c>
      <c r="I25" t="b">
        <v>1</v>
      </c>
      <c r="J25">
        <f t="shared" si="0"/>
        <v>1</v>
      </c>
      <c r="K25">
        <v>5.4462041854858398</v>
      </c>
      <c r="L25" t="b">
        <v>0</v>
      </c>
    </row>
    <row r="26" spans="1:17" x14ac:dyDescent="0.2">
      <c r="A26" t="s">
        <v>11</v>
      </c>
      <c r="B26" t="s">
        <v>17</v>
      </c>
      <c r="C26" t="s">
        <v>33</v>
      </c>
      <c r="D26">
        <v>2025</v>
      </c>
      <c r="E26">
        <v>12</v>
      </c>
      <c r="H26" t="s">
        <v>23</v>
      </c>
      <c r="J26">
        <f t="shared" si="0"/>
        <v>0</v>
      </c>
      <c r="P26">
        <v>5</v>
      </c>
    </row>
    <row r="27" spans="1:17" x14ac:dyDescent="0.2">
      <c r="A27" t="s">
        <v>11</v>
      </c>
      <c r="B27" t="s">
        <v>32</v>
      </c>
      <c r="C27" t="s">
        <v>33</v>
      </c>
      <c r="D27">
        <v>2025</v>
      </c>
      <c r="H27" t="s">
        <v>33</v>
      </c>
      <c r="J27">
        <f t="shared" si="0"/>
        <v>0</v>
      </c>
      <c r="Q27" t="s">
        <v>33</v>
      </c>
    </row>
    <row r="28" spans="1:17" x14ac:dyDescent="0.2">
      <c r="A28" t="s">
        <v>34</v>
      </c>
      <c r="B28" t="s">
        <v>12</v>
      </c>
      <c r="C28" t="s">
        <v>33</v>
      </c>
      <c r="D28">
        <v>2025</v>
      </c>
      <c r="E28">
        <v>1</v>
      </c>
      <c r="F28" t="s">
        <v>29</v>
      </c>
      <c r="G28" t="s">
        <v>30</v>
      </c>
      <c r="H28" t="s">
        <v>30</v>
      </c>
      <c r="I28" t="b">
        <v>1</v>
      </c>
      <c r="J28">
        <f t="shared" si="0"/>
        <v>1</v>
      </c>
      <c r="K28">
        <v>12.978147983551031</v>
      </c>
      <c r="L28" t="b">
        <v>0</v>
      </c>
    </row>
    <row r="29" spans="1:17" x14ac:dyDescent="0.2">
      <c r="A29" t="s">
        <v>34</v>
      </c>
      <c r="B29" t="s">
        <v>12</v>
      </c>
      <c r="C29" t="s">
        <v>33</v>
      </c>
      <c r="D29">
        <v>2025</v>
      </c>
      <c r="E29">
        <v>2</v>
      </c>
      <c r="F29" t="s">
        <v>31</v>
      </c>
      <c r="G29" t="s">
        <v>20</v>
      </c>
      <c r="H29" t="s">
        <v>20</v>
      </c>
      <c r="I29" t="b">
        <v>1</v>
      </c>
      <c r="J29">
        <f t="shared" si="0"/>
        <v>1</v>
      </c>
      <c r="K29">
        <v>5.5616681575775146</v>
      </c>
      <c r="L29" t="b">
        <v>0</v>
      </c>
    </row>
    <row r="30" spans="1:17" x14ac:dyDescent="0.2">
      <c r="A30" t="s">
        <v>34</v>
      </c>
      <c r="B30" t="s">
        <v>17</v>
      </c>
      <c r="C30" t="s">
        <v>33</v>
      </c>
      <c r="D30">
        <v>2025</v>
      </c>
      <c r="E30">
        <v>3</v>
      </c>
      <c r="H30" t="s">
        <v>23</v>
      </c>
      <c r="J30">
        <f t="shared" si="0"/>
        <v>0</v>
      </c>
      <c r="M30">
        <v>3</v>
      </c>
    </row>
    <row r="31" spans="1:17" x14ac:dyDescent="0.2">
      <c r="A31" t="s">
        <v>34</v>
      </c>
      <c r="B31" t="s">
        <v>12</v>
      </c>
      <c r="C31" t="s">
        <v>42</v>
      </c>
      <c r="D31">
        <v>2025</v>
      </c>
      <c r="E31">
        <v>4</v>
      </c>
      <c r="F31" t="s">
        <v>24</v>
      </c>
      <c r="G31" t="s">
        <v>25</v>
      </c>
      <c r="H31" t="s">
        <v>30</v>
      </c>
      <c r="I31" t="b">
        <v>0</v>
      </c>
      <c r="J31">
        <f t="shared" si="0"/>
        <v>0</v>
      </c>
      <c r="K31">
        <v>3.5911440849304199</v>
      </c>
      <c r="L31" t="b">
        <v>0</v>
      </c>
    </row>
    <row r="32" spans="1:17" x14ac:dyDescent="0.2">
      <c r="A32" t="s">
        <v>34</v>
      </c>
      <c r="B32" t="s">
        <v>12</v>
      </c>
      <c r="C32" t="s">
        <v>42</v>
      </c>
      <c r="D32">
        <v>2025</v>
      </c>
      <c r="E32">
        <v>5</v>
      </c>
      <c r="F32" t="s">
        <v>26</v>
      </c>
      <c r="G32" t="s">
        <v>27</v>
      </c>
      <c r="I32" t="b">
        <v>0</v>
      </c>
      <c r="J32">
        <f t="shared" si="0"/>
        <v>0</v>
      </c>
      <c r="K32">
        <v>15</v>
      </c>
      <c r="L32" t="b">
        <v>1</v>
      </c>
    </row>
    <row r="33" spans="1:17" x14ac:dyDescent="0.2">
      <c r="A33" t="s">
        <v>34</v>
      </c>
      <c r="B33" t="s">
        <v>17</v>
      </c>
      <c r="C33" t="s">
        <v>42</v>
      </c>
      <c r="D33">
        <v>2025</v>
      </c>
      <c r="E33">
        <v>6</v>
      </c>
      <c r="H33" t="s">
        <v>28</v>
      </c>
      <c r="J33">
        <f t="shared" si="0"/>
        <v>0</v>
      </c>
      <c r="N33">
        <v>4</v>
      </c>
    </row>
    <row r="34" spans="1:17" x14ac:dyDescent="0.2">
      <c r="A34" t="s">
        <v>34</v>
      </c>
      <c r="B34" t="s">
        <v>12</v>
      </c>
      <c r="C34" t="s">
        <v>71</v>
      </c>
      <c r="D34">
        <v>2025</v>
      </c>
      <c r="E34">
        <v>7</v>
      </c>
      <c r="F34" t="s">
        <v>13</v>
      </c>
      <c r="G34" t="s">
        <v>14</v>
      </c>
      <c r="H34" t="s">
        <v>14</v>
      </c>
      <c r="I34" t="b">
        <v>1</v>
      </c>
      <c r="J34">
        <f t="shared" si="0"/>
        <v>1</v>
      </c>
      <c r="K34">
        <v>6.2797470092773438</v>
      </c>
      <c r="L34" t="b">
        <v>0</v>
      </c>
    </row>
    <row r="35" spans="1:17" x14ac:dyDescent="0.2">
      <c r="A35" t="s">
        <v>34</v>
      </c>
      <c r="B35" t="s">
        <v>12</v>
      </c>
      <c r="C35" t="s">
        <v>71</v>
      </c>
      <c r="D35">
        <v>2025</v>
      </c>
      <c r="E35">
        <v>8</v>
      </c>
      <c r="F35" t="s">
        <v>15</v>
      </c>
      <c r="G35" t="s">
        <v>16</v>
      </c>
      <c r="I35" t="b">
        <v>0</v>
      </c>
      <c r="J35">
        <f t="shared" si="0"/>
        <v>0</v>
      </c>
      <c r="K35">
        <v>15</v>
      </c>
      <c r="L35" t="b">
        <v>1</v>
      </c>
    </row>
    <row r="36" spans="1:17" x14ac:dyDescent="0.2">
      <c r="A36" t="s">
        <v>34</v>
      </c>
      <c r="B36" t="s">
        <v>17</v>
      </c>
      <c r="C36" t="s">
        <v>71</v>
      </c>
      <c r="D36">
        <v>2025</v>
      </c>
      <c r="E36">
        <v>9</v>
      </c>
      <c r="H36" t="s">
        <v>28</v>
      </c>
      <c r="J36">
        <f t="shared" si="0"/>
        <v>0</v>
      </c>
      <c r="O36">
        <v>3</v>
      </c>
    </row>
    <row r="37" spans="1:17" x14ac:dyDescent="0.2">
      <c r="A37" t="s">
        <v>34</v>
      </c>
      <c r="B37" t="s">
        <v>12</v>
      </c>
      <c r="C37" t="s">
        <v>37</v>
      </c>
      <c r="D37">
        <v>2025</v>
      </c>
      <c r="E37">
        <v>10</v>
      </c>
      <c r="F37" t="s">
        <v>19</v>
      </c>
      <c r="G37" t="s">
        <v>20</v>
      </c>
      <c r="H37" t="s">
        <v>20</v>
      </c>
      <c r="I37" t="b">
        <v>1</v>
      </c>
      <c r="J37">
        <f t="shared" si="0"/>
        <v>1</v>
      </c>
      <c r="K37">
        <v>5.1482369899749756</v>
      </c>
      <c r="L37" t="b">
        <v>0</v>
      </c>
    </row>
    <row r="38" spans="1:17" x14ac:dyDescent="0.2">
      <c r="A38" t="s">
        <v>34</v>
      </c>
      <c r="B38" t="s">
        <v>12</v>
      </c>
      <c r="C38" t="s">
        <v>37</v>
      </c>
      <c r="D38">
        <v>2025</v>
      </c>
      <c r="E38">
        <v>11</v>
      </c>
      <c r="F38" t="s">
        <v>21</v>
      </c>
      <c r="G38" t="s">
        <v>22</v>
      </c>
      <c r="H38" t="s">
        <v>22</v>
      </c>
      <c r="I38" t="b">
        <v>1</v>
      </c>
      <c r="J38">
        <f t="shared" si="0"/>
        <v>1</v>
      </c>
      <c r="K38">
        <v>8.6839709281921387</v>
      </c>
      <c r="L38" t="b">
        <v>0</v>
      </c>
    </row>
    <row r="39" spans="1:17" x14ac:dyDescent="0.2">
      <c r="A39" t="s">
        <v>34</v>
      </c>
      <c r="B39" t="s">
        <v>17</v>
      </c>
      <c r="C39" t="s">
        <v>37</v>
      </c>
      <c r="D39">
        <v>2025</v>
      </c>
      <c r="E39">
        <v>12</v>
      </c>
      <c r="H39" t="s">
        <v>35</v>
      </c>
      <c r="J39">
        <f t="shared" si="0"/>
        <v>0</v>
      </c>
      <c r="P39">
        <v>5</v>
      </c>
    </row>
    <row r="40" spans="1:17" x14ac:dyDescent="0.2">
      <c r="A40" t="s">
        <v>34</v>
      </c>
      <c r="B40" t="s">
        <v>32</v>
      </c>
      <c r="C40" t="s">
        <v>33</v>
      </c>
      <c r="D40">
        <v>2025</v>
      </c>
      <c r="H40" t="s">
        <v>33</v>
      </c>
      <c r="J40">
        <f t="shared" si="0"/>
        <v>0</v>
      </c>
      <c r="Q40" t="s">
        <v>33</v>
      </c>
    </row>
    <row r="41" spans="1:17" x14ac:dyDescent="0.2">
      <c r="A41" t="s">
        <v>36</v>
      </c>
      <c r="B41" t="s">
        <v>12</v>
      </c>
      <c r="C41" t="s">
        <v>33</v>
      </c>
      <c r="D41">
        <v>2025</v>
      </c>
      <c r="E41">
        <v>1</v>
      </c>
      <c r="F41" t="s">
        <v>29</v>
      </c>
      <c r="G41" t="s">
        <v>30</v>
      </c>
      <c r="H41" t="s">
        <v>30</v>
      </c>
      <c r="I41" t="b">
        <v>1</v>
      </c>
      <c r="J41">
        <f t="shared" si="0"/>
        <v>1</v>
      </c>
      <c r="K41">
        <v>7.3728668689727783</v>
      </c>
      <c r="L41" t="b">
        <v>0</v>
      </c>
    </row>
    <row r="42" spans="1:17" x14ac:dyDescent="0.2">
      <c r="A42" t="s">
        <v>36</v>
      </c>
      <c r="B42" t="s">
        <v>12</v>
      </c>
      <c r="C42" t="s">
        <v>33</v>
      </c>
      <c r="D42">
        <v>2025</v>
      </c>
      <c r="E42">
        <v>2</v>
      </c>
      <c r="F42" t="s">
        <v>31</v>
      </c>
      <c r="G42" t="s">
        <v>20</v>
      </c>
      <c r="H42" t="s">
        <v>20</v>
      </c>
      <c r="I42" t="b">
        <v>1</v>
      </c>
      <c r="J42">
        <f t="shared" si="0"/>
        <v>1</v>
      </c>
      <c r="K42">
        <v>7.7692198753356934</v>
      </c>
      <c r="L42" t="b">
        <v>0</v>
      </c>
    </row>
    <row r="43" spans="1:17" x14ac:dyDescent="0.2">
      <c r="A43" t="s">
        <v>36</v>
      </c>
      <c r="B43" t="s">
        <v>17</v>
      </c>
      <c r="C43" t="s">
        <v>33</v>
      </c>
      <c r="D43">
        <v>2025</v>
      </c>
      <c r="E43">
        <v>3</v>
      </c>
      <c r="H43" t="s">
        <v>23</v>
      </c>
      <c r="J43">
        <f t="shared" si="0"/>
        <v>0</v>
      </c>
      <c r="M43">
        <v>5</v>
      </c>
    </row>
    <row r="44" spans="1:17" x14ac:dyDescent="0.2">
      <c r="A44" t="s">
        <v>36</v>
      </c>
      <c r="B44" t="s">
        <v>12</v>
      </c>
      <c r="C44" t="s">
        <v>42</v>
      </c>
      <c r="D44">
        <v>2025</v>
      </c>
      <c r="E44">
        <v>4</v>
      </c>
      <c r="F44" t="s">
        <v>24</v>
      </c>
      <c r="G44" t="s">
        <v>25</v>
      </c>
      <c r="H44" t="s">
        <v>25</v>
      </c>
      <c r="I44" t="b">
        <v>1</v>
      </c>
      <c r="J44">
        <f t="shared" si="0"/>
        <v>1</v>
      </c>
      <c r="K44">
        <v>6.6838679313659668</v>
      </c>
      <c r="L44" t="b">
        <v>0</v>
      </c>
    </row>
    <row r="45" spans="1:17" x14ac:dyDescent="0.2">
      <c r="A45" t="s">
        <v>36</v>
      </c>
      <c r="B45" t="s">
        <v>12</v>
      </c>
      <c r="C45" t="s">
        <v>42</v>
      </c>
      <c r="D45">
        <v>2025</v>
      </c>
      <c r="E45">
        <v>5</v>
      </c>
      <c r="F45" t="s">
        <v>26</v>
      </c>
      <c r="G45" t="s">
        <v>27</v>
      </c>
      <c r="I45" t="b">
        <v>0</v>
      </c>
      <c r="J45">
        <f t="shared" si="0"/>
        <v>0</v>
      </c>
      <c r="K45">
        <v>15</v>
      </c>
      <c r="L45" t="b">
        <v>1</v>
      </c>
    </row>
    <row r="46" spans="1:17" x14ac:dyDescent="0.2">
      <c r="A46" t="s">
        <v>36</v>
      </c>
      <c r="B46" t="s">
        <v>17</v>
      </c>
      <c r="C46" t="s">
        <v>42</v>
      </c>
      <c r="D46">
        <v>2025</v>
      </c>
      <c r="E46">
        <v>6</v>
      </c>
      <c r="H46" t="s">
        <v>23</v>
      </c>
      <c r="J46">
        <f t="shared" si="0"/>
        <v>0</v>
      </c>
      <c r="N46">
        <v>5</v>
      </c>
    </row>
    <row r="47" spans="1:17" x14ac:dyDescent="0.2">
      <c r="A47" t="s">
        <v>36</v>
      </c>
      <c r="B47" t="s">
        <v>12</v>
      </c>
      <c r="C47" t="s">
        <v>37</v>
      </c>
      <c r="D47">
        <v>2025</v>
      </c>
      <c r="E47">
        <v>7</v>
      </c>
      <c r="F47" t="s">
        <v>19</v>
      </c>
      <c r="G47" t="s">
        <v>20</v>
      </c>
      <c r="H47" t="s">
        <v>20</v>
      </c>
      <c r="I47" t="b">
        <v>1</v>
      </c>
      <c r="J47">
        <f t="shared" si="0"/>
        <v>1</v>
      </c>
      <c r="K47">
        <v>6.2096178531646729</v>
      </c>
      <c r="L47" t="b">
        <v>0</v>
      </c>
    </row>
    <row r="48" spans="1:17" x14ac:dyDescent="0.2">
      <c r="A48" t="s">
        <v>36</v>
      </c>
      <c r="B48" t="s">
        <v>12</v>
      </c>
      <c r="C48" t="s">
        <v>37</v>
      </c>
      <c r="D48">
        <v>2025</v>
      </c>
      <c r="E48">
        <v>8</v>
      </c>
      <c r="F48" t="s">
        <v>21</v>
      </c>
      <c r="G48" t="s">
        <v>22</v>
      </c>
      <c r="H48" t="s">
        <v>22</v>
      </c>
      <c r="I48" t="b">
        <v>1</v>
      </c>
      <c r="J48">
        <f t="shared" si="0"/>
        <v>1</v>
      </c>
      <c r="K48">
        <v>8.982050895690918</v>
      </c>
      <c r="L48" t="b">
        <v>0</v>
      </c>
    </row>
    <row r="49" spans="1:17" x14ac:dyDescent="0.2">
      <c r="A49" t="s">
        <v>36</v>
      </c>
      <c r="B49" t="s">
        <v>17</v>
      </c>
      <c r="C49" t="s">
        <v>37</v>
      </c>
      <c r="D49">
        <v>2025</v>
      </c>
      <c r="E49">
        <v>9</v>
      </c>
      <c r="H49" t="s">
        <v>23</v>
      </c>
      <c r="J49">
        <f t="shared" si="0"/>
        <v>0</v>
      </c>
      <c r="O49">
        <v>3</v>
      </c>
    </row>
    <row r="50" spans="1:17" x14ac:dyDescent="0.2">
      <c r="A50" t="s">
        <v>36</v>
      </c>
      <c r="B50" t="s">
        <v>12</v>
      </c>
      <c r="C50" t="s">
        <v>71</v>
      </c>
      <c r="D50">
        <v>2025</v>
      </c>
      <c r="E50">
        <v>10</v>
      </c>
      <c r="F50" t="s">
        <v>13</v>
      </c>
      <c r="G50" t="s">
        <v>14</v>
      </c>
      <c r="H50" t="s">
        <v>14</v>
      </c>
      <c r="I50" t="b">
        <v>1</v>
      </c>
      <c r="J50">
        <f t="shared" si="0"/>
        <v>1</v>
      </c>
      <c r="K50">
        <v>3.929238080978394</v>
      </c>
      <c r="L50" t="b">
        <v>0</v>
      </c>
    </row>
    <row r="51" spans="1:17" x14ac:dyDescent="0.2">
      <c r="A51" t="s">
        <v>36</v>
      </c>
      <c r="B51" t="s">
        <v>12</v>
      </c>
      <c r="C51" t="s">
        <v>71</v>
      </c>
      <c r="D51">
        <v>2025</v>
      </c>
      <c r="E51">
        <v>11</v>
      </c>
      <c r="F51" t="s">
        <v>15</v>
      </c>
      <c r="G51" t="s">
        <v>16</v>
      </c>
      <c r="I51" t="b">
        <v>0</v>
      </c>
      <c r="J51">
        <f t="shared" si="0"/>
        <v>0</v>
      </c>
      <c r="K51">
        <v>15</v>
      </c>
      <c r="L51" t="b">
        <v>1</v>
      </c>
    </row>
    <row r="52" spans="1:17" x14ac:dyDescent="0.2">
      <c r="A52" t="s">
        <v>36</v>
      </c>
      <c r="B52" t="s">
        <v>17</v>
      </c>
      <c r="C52" t="s">
        <v>71</v>
      </c>
      <c r="D52">
        <v>2025</v>
      </c>
      <c r="E52">
        <v>12</v>
      </c>
      <c r="H52" t="s">
        <v>28</v>
      </c>
      <c r="J52">
        <f t="shared" si="0"/>
        <v>0</v>
      </c>
      <c r="P52">
        <v>5</v>
      </c>
    </row>
    <row r="53" spans="1:17" x14ac:dyDescent="0.2">
      <c r="A53" t="s">
        <v>36</v>
      </c>
      <c r="B53" t="s">
        <v>32</v>
      </c>
      <c r="C53" t="s">
        <v>37</v>
      </c>
      <c r="D53">
        <v>2025</v>
      </c>
      <c r="H53" t="s">
        <v>37</v>
      </c>
      <c r="J53">
        <f t="shared" si="0"/>
        <v>0</v>
      </c>
      <c r="Q53" t="s">
        <v>37</v>
      </c>
    </row>
    <row r="54" spans="1:17" x14ac:dyDescent="0.2">
      <c r="A54" t="s">
        <v>38</v>
      </c>
      <c r="B54" t="s">
        <v>12</v>
      </c>
      <c r="C54" t="s">
        <v>42</v>
      </c>
      <c r="D54">
        <v>2025</v>
      </c>
      <c r="E54">
        <v>1</v>
      </c>
      <c r="F54" t="s">
        <v>24</v>
      </c>
      <c r="G54" t="s">
        <v>25</v>
      </c>
      <c r="H54" t="s">
        <v>25</v>
      </c>
      <c r="I54" t="b">
        <v>1</v>
      </c>
      <c r="J54">
        <f t="shared" si="0"/>
        <v>1</v>
      </c>
      <c r="K54">
        <v>5.4196219444274902</v>
      </c>
      <c r="L54" t="b">
        <v>0</v>
      </c>
    </row>
    <row r="55" spans="1:17" x14ac:dyDescent="0.2">
      <c r="A55" t="s">
        <v>38</v>
      </c>
      <c r="B55" t="s">
        <v>12</v>
      </c>
      <c r="C55" t="s">
        <v>42</v>
      </c>
      <c r="D55">
        <v>2025</v>
      </c>
      <c r="E55">
        <v>2</v>
      </c>
      <c r="F55" t="s">
        <v>26</v>
      </c>
      <c r="G55" t="s">
        <v>27</v>
      </c>
      <c r="I55" t="b">
        <v>0</v>
      </c>
      <c r="J55">
        <f t="shared" si="0"/>
        <v>0</v>
      </c>
      <c r="K55">
        <v>15</v>
      </c>
      <c r="L55" t="b">
        <v>1</v>
      </c>
    </row>
    <row r="56" spans="1:17" x14ac:dyDescent="0.2">
      <c r="A56" t="s">
        <v>38</v>
      </c>
      <c r="B56" t="s">
        <v>17</v>
      </c>
      <c r="C56" t="s">
        <v>42</v>
      </c>
      <c r="D56">
        <v>2025</v>
      </c>
      <c r="E56">
        <v>3</v>
      </c>
      <c r="H56" t="s">
        <v>23</v>
      </c>
      <c r="J56">
        <f t="shared" si="0"/>
        <v>0</v>
      </c>
      <c r="M56">
        <v>5</v>
      </c>
    </row>
    <row r="57" spans="1:17" x14ac:dyDescent="0.2">
      <c r="A57" t="s">
        <v>38</v>
      </c>
      <c r="B57" t="s">
        <v>12</v>
      </c>
      <c r="C57" t="s">
        <v>71</v>
      </c>
      <c r="D57">
        <v>2025</v>
      </c>
      <c r="E57">
        <v>4</v>
      </c>
      <c r="F57" t="s">
        <v>13</v>
      </c>
      <c r="G57" t="s">
        <v>14</v>
      </c>
      <c r="H57" t="s">
        <v>14</v>
      </c>
      <c r="I57" t="b">
        <v>1</v>
      </c>
      <c r="J57">
        <f t="shared" si="0"/>
        <v>1</v>
      </c>
      <c r="K57">
        <v>3.2413311004638672</v>
      </c>
      <c r="L57" t="b">
        <v>0</v>
      </c>
    </row>
    <row r="58" spans="1:17" x14ac:dyDescent="0.2">
      <c r="A58" t="s">
        <v>38</v>
      </c>
      <c r="B58" t="s">
        <v>12</v>
      </c>
      <c r="C58" t="s">
        <v>71</v>
      </c>
      <c r="D58">
        <v>2025</v>
      </c>
      <c r="E58">
        <v>5</v>
      </c>
      <c r="F58" t="s">
        <v>15</v>
      </c>
      <c r="G58" t="s">
        <v>16</v>
      </c>
      <c r="I58" t="b">
        <v>0</v>
      </c>
      <c r="J58">
        <f t="shared" si="0"/>
        <v>0</v>
      </c>
      <c r="K58">
        <v>15</v>
      </c>
      <c r="L58" t="b">
        <v>1</v>
      </c>
    </row>
    <row r="59" spans="1:17" x14ac:dyDescent="0.2">
      <c r="A59" t="s">
        <v>38</v>
      </c>
      <c r="B59" t="s">
        <v>17</v>
      </c>
      <c r="C59" t="s">
        <v>71</v>
      </c>
      <c r="D59">
        <v>2025</v>
      </c>
      <c r="E59">
        <v>6</v>
      </c>
      <c r="H59" t="s">
        <v>18</v>
      </c>
      <c r="J59">
        <f t="shared" si="0"/>
        <v>0</v>
      </c>
      <c r="N59">
        <v>5</v>
      </c>
    </row>
    <row r="60" spans="1:17" x14ac:dyDescent="0.2">
      <c r="A60" t="s">
        <v>38</v>
      </c>
      <c r="B60" t="s">
        <v>12</v>
      </c>
      <c r="C60" t="s">
        <v>37</v>
      </c>
      <c r="D60">
        <v>2025</v>
      </c>
      <c r="E60">
        <v>7</v>
      </c>
      <c r="F60" t="s">
        <v>19</v>
      </c>
      <c r="G60" t="s">
        <v>20</v>
      </c>
      <c r="H60" t="s">
        <v>20</v>
      </c>
      <c r="I60" t="b">
        <v>1</v>
      </c>
      <c r="J60">
        <f t="shared" si="0"/>
        <v>1</v>
      </c>
      <c r="K60">
        <v>6.3015718460083008</v>
      </c>
      <c r="L60" t="b">
        <v>0</v>
      </c>
    </row>
    <row r="61" spans="1:17" x14ac:dyDescent="0.2">
      <c r="A61" t="s">
        <v>38</v>
      </c>
      <c r="B61" t="s">
        <v>12</v>
      </c>
      <c r="C61" t="s">
        <v>37</v>
      </c>
      <c r="D61">
        <v>2025</v>
      </c>
      <c r="E61">
        <v>8</v>
      </c>
      <c r="F61" t="s">
        <v>21</v>
      </c>
      <c r="G61" t="s">
        <v>22</v>
      </c>
      <c r="H61" t="s">
        <v>22</v>
      </c>
      <c r="I61" t="b">
        <v>1</v>
      </c>
      <c r="J61">
        <f t="shared" si="0"/>
        <v>1</v>
      </c>
      <c r="K61">
        <v>9.872859001159668</v>
      </c>
      <c r="L61" t="b">
        <v>0</v>
      </c>
    </row>
    <row r="62" spans="1:17" x14ac:dyDescent="0.2">
      <c r="A62" t="s">
        <v>38</v>
      </c>
      <c r="B62" t="s">
        <v>17</v>
      </c>
      <c r="C62" t="s">
        <v>37</v>
      </c>
      <c r="D62">
        <v>2025</v>
      </c>
      <c r="E62">
        <v>9</v>
      </c>
      <c r="H62" t="s">
        <v>23</v>
      </c>
      <c r="J62">
        <f t="shared" si="0"/>
        <v>0</v>
      </c>
      <c r="O62">
        <v>2</v>
      </c>
    </row>
    <row r="63" spans="1:17" x14ac:dyDescent="0.2">
      <c r="A63" t="s">
        <v>38</v>
      </c>
      <c r="B63" t="s">
        <v>12</v>
      </c>
      <c r="C63" t="s">
        <v>33</v>
      </c>
      <c r="D63">
        <v>2025</v>
      </c>
      <c r="E63">
        <v>10</v>
      </c>
      <c r="F63" t="s">
        <v>29</v>
      </c>
      <c r="G63" t="s">
        <v>30</v>
      </c>
      <c r="H63" t="s">
        <v>30</v>
      </c>
      <c r="I63" t="b">
        <v>1</v>
      </c>
      <c r="J63">
        <f t="shared" si="0"/>
        <v>1</v>
      </c>
      <c r="K63">
        <v>4.7881569862365723</v>
      </c>
      <c r="L63" t="b">
        <v>0</v>
      </c>
    </row>
    <row r="64" spans="1:17" x14ac:dyDescent="0.2">
      <c r="A64" t="s">
        <v>38</v>
      </c>
      <c r="B64" t="s">
        <v>12</v>
      </c>
      <c r="C64" t="s">
        <v>33</v>
      </c>
      <c r="D64">
        <v>2025</v>
      </c>
      <c r="E64">
        <v>11</v>
      </c>
      <c r="F64" t="s">
        <v>31</v>
      </c>
      <c r="G64" t="s">
        <v>20</v>
      </c>
      <c r="H64" t="s">
        <v>20</v>
      </c>
      <c r="I64" t="b">
        <v>1</v>
      </c>
      <c r="J64">
        <f t="shared" si="0"/>
        <v>1</v>
      </c>
      <c r="K64">
        <v>4.4397068023681641</v>
      </c>
      <c r="L64" t="b">
        <v>0</v>
      </c>
    </row>
    <row r="65" spans="1:17" x14ac:dyDescent="0.2">
      <c r="A65" t="s">
        <v>38</v>
      </c>
      <c r="B65" t="s">
        <v>17</v>
      </c>
      <c r="C65" t="s">
        <v>33</v>
      </c>
      <c r="D65">
        <v>2025</v>
      </c>
      <c r="E65">
        <v>12</v>
      </c>
      <c r="H65" t="s">
        <v>23</v>
      </c>
      <c r="J65">
        <f t="shared" si="0"/>
        <v>0</v>
      </c>
      <c r="P65">
        <v>5</v>
      </c>
    </row>
    <row r="66" spans="1:17" x14ac:dyDescent="0.2">
      <c r="A66" t="s">
        <v>38</v>
      </c>
      <c r="B66" t="s">
        <v>32</v>
      </c>
      <c r="C66" t="s">
        <v>33</v>
      </c>
      <c r="D66">
        <v>2025</v>
      </c>
      <c r="H66" t="s">
        <v>33</v>
      </c>
      <c r="J66">
        <f t="shared" si="0"/>
        <v>0</v>
      </c>
      <c r="Q66" t="s">
        <v>33</v>
      </c>
    </row>
    <row r="67" spans="1:17" x14ac:dyDescent="0.2">
      <c r="A67" t="s">
        <v>39</v>
      </c>
      <c r="B67" t="s">
        <v>12</v>
      </c>
      <c r="C67" t="s">
        <v>37</v>
      </c>
      <c r="D67">
        <v>2025</v>
      </c>
      <c r="E67">
        <v>1</v>
      </c>
      <c r="F67" t="s">
        <v>19</v>
      </c>
      <c r="G67" t="s">
        <v>20</v>
      </c>
      <c r="H67" t="s">
        <v>20</v>
      </c>
      <c r="I67" t="b">
        <v>1</v>
      </c>
      <c r="J67">
        <f t="shared" ref="J67:J130" si="1">IF(I67=TRUE, 1, 0)</f>
        <v>1</v>
      </c>
      <c r="K67">
        <v>5.7301521301269531</v>
      </c>
      <c r="L67" t="b">
        <v>0</v>
      </c>
    </row>
    <row r="68" spans="1:17" x14ac:dyDescent="0.2">
      <c r="A68" t="s">
        <v>39</v>
      </c>
      <c r="B68" t="s">
        <v>12</v>
      </c>
      <c r="C68" t="s">
        <v>37</v>
      </c>
      <c r="D68">
        <v>2025</v>
      </c>
      <c r="E68">
        <v>2</v>
      </c>
      <c r="F68" t="s">
        <v>21</v>
      </c>
      <c r="G68" t="s">
        <v>22</v>
      </c>
      <c r="H68" t="s">
        <v>22</v>
      </c>
      <c r="I68" t="b">
        <v>1</v>
      </c>
      <c r="J68">
        <f t="shared" si="1"/>
        <v>1</v>
      </c>
      <c r="K68">
        <v>6.9513518810272217</v>
      </c>
      <c r="L68" t="b">
        <v>0</v>
      </c>
    </row>
    <row r="69" spans="1:17" x14ac:dyDescent="0.2">
      <c r="A69" t="s">
        <v>39</v>
      </c>
      <c r="B69" t="s">
        <v>17</v>
      </c>
      <c r="C69" t="s">
        <v>37</v>
      </c>
      <c r="D69">
        <v>2025</v>
      </c>
      <c r="E69">
        <v>3</v>
      </c>
      <c r="H69" t="s">
        <v>35</v>
      </c>
      <c r="J69">
        <f t="shared" si="1"/>
        <v>0</v>
      </c>
      <c r="M69">
        <v>3</v>
      </c>
    </row>
    <row r="70" spans="1:17" x14ac:dyDescent="0.2">
      <c r="A70" t="s">
        <v>39</v>
      </c>
      <c r="B70" t="s">
        <v>12</v>
      </c>
      <c r="C70" t="s">
        <v>42</v>
      </c>
      <c r="D70">
        <v>2025</v>
      </c>
      <c r="E70">
        <v>4</v>
      </c>
      <c r="F70" t="s">
        <v>24</v>
      </c>
      <c r="G70" t="s">
        <v>25</v>
      </c>
      <c r="H70" t="s">
        <v>25</v>
      </c>
      <c r="I70" t="b">
        <v>1</v>
      </c>
      <c r="J70">
        <f t="shared" si="1"/>
        <v>1</v>
      </c>
      <c r="K70">
        <v>8.0262391567230225</v>
      </c>
      <c r="L70" t="b">
        <v>0</v>
      </c>
    </row>
    <row r="71" spans="1:17" x14ac:dyDescent="0.2">
      <c r="A71" t="s">
        <v>39</v>
      </c>
      <c r="B71" t="s">
        <v>12</v>
      </c>
      <c r="C71" t="s">
        <v>42</v>
      </c>
      <c r="D71">
        <v>2025</v>
      </c>
      <c r="E71">
        <v>5</v>
      </c>
      <c r="F71" t="s">
        <v>26</v>
      </c>
      <c r="G71" t="s">
        <v>27</v>
      </c>
      <c r="I71" t="b">
        <v>0</v>
      </c>
      <c r="J71">
        <f t="shared" si="1"/>
        <v>0</v>
      </c>
      <c r="K71">
        <v>15</v>
      </c>
      <c r="L71" t="b">
        <v>1</v>
      </c>
    </row>
    <row r="72" spans="1:17" x14ac:dyDescent="0.2">
      <c r="A72" t="s">
        <v>39</v>
      </c>
      <c r="B72" t="s">
        <v>17</v>
      </c>
      <c r="C72" t="s">
        <v>42</v>
      </c>
      <c r="D72">
        <v>2025</v>
      </c>
      <c r="E72">
        <v>6</v>
      </c>
      <c r="H72" t="s">
        <v>28</v>
      </c>
      <c r="J72">
        <f t="shared" si="1"/>
        <v>0</v>
      </c>
      <c r="N72">
        <v>4</v>
      </c>
    </row>
    <row r="73" spans="1:17" x14ac:dyDescent="0.2">
      <c r="A73" t="s">
        <v>39</v>
      </c>
      <c r="B73" t="s">
        <v>12</v>
      </c>
      <c r="C73" t="s">
        <v>71</v>
      </c>
      <c r="D73">
        <v>2025</v>
      </c>
      <c r="E73">
        <v>7</v>
      </c>
      <c r="F73" t="s">
        <v>13</v>
      </c>
      <c r="G73" t="s">
        <v>14</v>
      </c>
      <c r="H73" t="s">
        <v>14</v>
      </c>
      <c r="I73" t="b">
        <v>1</v>
      </c>
      <c r="J73">
        <f t="shared" si="1"/>
        <v>1</v>
      </c>
      <c r="K73">
        <v>4.49155592918396</v>
      </c>
      <c r="L73" t="b">
        <v>0</v>
      </c>
    </row>
    <row r="74" spans="1:17" x14ac:dyDescent="0.2">
      <c r="A74" t="s">
        <v>39</v>
      </c>
      <c r="B74" t="s">
        <v>12</v>
      </c>
      <c r="C74" t="s">
        <v>71</v>
      </c>
      <c r="D74">
        <v>2025</v>
      </c>
      <c r="E74">
        <v>8</v>
      </c>
      <c r="F74" t="s">
        <v>15</v>
      </c>
      <c r="G74" t="s">
        <v>16</v>
      </c>
      <c r="H74" t="s">
        <v>40</v>
      </c>
      <c r="I74" t="b">
        <v>0</v>
      </c>
      <c r="J74">
        <f t="shared" si="1"/>
        <v>0</v>
      </c>
      <c r="K74">
        <v>6.5223038196563721</v>
      </c>
      <c r="L74" t="b">
        <v>0</v>
      </c>
    </row>
    <row r="75" spans="1:17" x14ac:dyDescent="0.2">
      <c r="A75" t="s">
        <v>39</v>
      </c>
      <c r="B75" t="s">
        <v>17</v>
      </c>
      <c r="C75" t="s">
        <v>71</v>
      </c>
      <c r="D75">
        <v>2025</v>
      </c>
      <c r="E75">
        <v>9</v>
      </c>
      <c r="H75" t="s">
        <v>28</v>
      </c>
      <c r="J75">
        <f t="shared" si="1"/>
        <v>0</v>
      </c>
      <c r="O75">
        <v>3</v>
      </c>
    </row>
    <row r="76" spans="1:17" x14ac:dyDescent="0.2">
      <c r="A76" t="s">
        <v>39</v>
      </c>
      <c r="B76" t="s">
        <v>12</v>
      </c>
      <c r="C76" t="s">
        <v>33</v>
      </c>
      <c r="D76">
        <v>2025</v>
      </c>
      <c r="E76">
        <v>10</v>
      </c>
      <c r="F76" t="s">
        <v>29</v>
      </c>
      <c r="G76" t="s">
        <v>30</v>
      </c>
      <c r="H76" t="s">
        <v>30</v>
      </c>
      <c r="I76" t="b">
        <v>1</v>
      </c>
      <c r="J76">
        <f t="shared" si="1"/>
        <v>1</v>
      </c>
      <c r="K76">
        <v>5.3899269104003906</v>
      </c>
      <c r="L76" t="b">
        <v>0</v>
      </c>
    </row>
    <row r="77" spans="1:17" x14ac:dyDescent="0.2">
      <c r="A77" t="s">
        <v>39</v>
      </c>
      <c r="B77" t="s">
        <v>12</v>
      </c>
      <c r="C77" t="s">
        <v>33</v>
      </c>
      <c r="D77">
        <v>2025</v>
      </c>
      <c r="E77">
        <v>11</v>
      </c>
      <c r="F77" t="s">
        <v>31</v>
      </c>
      <c r="G77" t="s">
        <v>20</v>
      </c>
      <c r="H77" t="s">
        <v>30</v>
      </c>
      <c r="I77" t="b">
        <v>0</v>
      </c>
      <c r="J77">
        <f t="shared" si="1"/>
        <v>0</v>
      </c>
      <c r="K77">
        <v>9.2904918193817139</v>
      </c>
      <c r="L77" t="b">
        <v>0</v>
      </c>
    </row>
    <row r="78" spans="1:17" x14ac:dyDescent="0.2">
      <c r="A78" t="s">
        <v>39</v>
      </c>
      <c r="B78" t="s">
        <v>17</v>
      </c>
      <c r="C78" t="s">
        <v>33</v>
      </c>
      <c r="D78">
        <v>2025</v>
      </c>
      <c r="E78">
        <v>12</v>
      </c>
      <c r="H78" t="s">
        <v>23</v>
      </c>
      <c r="J78">
        <f t="shared" si="1"/>
        <v>0</v>
      </c>
      <c r="P78">
        <v>5</v>
      </c>
    </row>
    <row r="79" spans="1:17" x14ac:dyDescent="0.2">
      <c r="A79" t="s">
        <v>39</v>
      </c>
      <c r="B79" t="s">
        <v>32</v>
      </c>
      <c r="C79" t="s">
        <v>33</v>
      </c>
      <c r="D79">
        <v>2025</v>
      </c>
      <c r="H79" t="s">
        <v>33</v>
      </c>
      <c r="J79">
        <f t="shared" si="1"/>
        <v>0</v>
      </c>
      <c r="Q79" t="s">
        <v>33</v>
      </c>
    </row>
    <row r="80" spans="1:17" x14ac:dyDescent="0.2">
      <c r="A80" t="s">
        <v>41</v>
      </c>
      <c r="B80" t="s">
        <v>12</v>
      </c>
      <c r="C80" t="s">
        <v>37</v>
      </c>
      <c r="D80">
        <v>2025</v>
      </c>
      <c r="E80">
        <v>1</v>
      </c>
      <c r="F80" t="s">
        <v>19</v>
      </c>
      <c r="G80" t="s">
        <v>20</v>
      </c>
      <c r="H80" t="s">
        <v>20</v>
      </c>
      <c r="I80" t="b">
        <v>1</v>
      </c>
      <c r="J80">
        <f t="shared" si="1"/>
        <v>1</v>
      </c>
      <c r="K80">
        <v>7.9715709686279297</v>
      </c>
      <c r="L80" t="b">
        <v>0</v>
      </c>
    </row>
    <row r="81" spans="1:17" x14ac:dyDescent="0.2">
      <c r="A81" t="s">
        <v>41</v>
      </c>
      <c r="B81" t="s">
        <v>12</v>
      </c>
      <c r="C81" t="s">
        <v>37</v>
      </c>
      <c r="D81">
        <v>2025</v>
      </c>
      <c r="E81">
        <v>2</v>
      </c>
      <c r="F81" t="s">
        <v>21</v>
      </c>
      <c r="G81" t="s">
        <v>22</v>
      </c>
      <c r="H81" t="s">
        <v>22</v>
      </c>
      <c r="I81" t="b">
        <v>1</v>
      </c>
      <c r="J81">
        <f t="shared" si="1"/>
        <v>1</v>
      </c>
      <c r="K81">
        <v>10.62656998634338</v>
      </c>
      <c r="L81" t="b">
        <v>0</v>
      </c>
    </row>
    <row r="82" spans="1:17" x14ac:dyDescent="0.2">
      <c r="A82" t="s">
        <v>41</v>
      </c>
      <c r="B82" t="s">
        <v>17</v>
      </c>
      <c r="C82" t="s">
        <v>37</v>
      </c>
      <c r="D82">
        <v>2025</v>
      </c>
      <c r="E82">
        <v>3</v>
      </c>
      <c r="H82" t="s">
        <v>23</v>
      </c>
      <c r="J82">
        <f t="shared" si="1"/>
        <v>0</v>
      </c>
      <c r="M82">
        <v>5</v>
      </c>
    </row>
    <row r="83" spans="1:17" x14ac:dyDescent="0.2">
      <c r="A83" t="s">
        <v>41</v>
      </c>
      <c r="B83" t="s">
        <v>12</v>
      </c>
      <c r="C83" t="s">
        <v>33</v>
      </c>
      <c r="D83">
        <v>2025</v>
      </c>
      <c r="E83">
        <v>4</v>
      </c>
      <c r="F83" t="s">
        <v>29</v>
      </c>
      <c r="G83" t="s">
        <v>30</v>
      </c>
      <c r="H83" t="s">
        <v>30</v>
      </c>
      <c r="I83" t="b">
        <v>1</v>
      </c>
      <c r="J83">
        <f t="shared" si="1"/>
        <v>1</v>
      </c>
      <c r="K83">
        <v>14.240607023239139</v>
      </c>
      <c r="L83" t="b">
        <v>0</v>
      </c>
    </row>
    <row r="84" spans="1:17" x14ac:dyDescent="0.2">
      <c r="A84" t="s">
        <v>41</v>
      </c>
      <c r="B84" t="s">
        <v>12</v>
      </c>
      <c r="C84" t="s">
        <v>33</v>
      </c>
      <c r="D84">
        <v>2025</v>
      </c>
      <c r="E84">
        <v>5</v>
      </c>
      <c r="F84" t="s">
        <v>31</v>
      </c>
      <c r="G84" t="s">
        <v>20</v>
      </c>
      <c r="H84" t="s">
        <v>20</v>
      </c>
      <c r="I84" t="b">
        <v>1</v>
      </c>
      <c r="J84">
        <f t="shared" si="1"/>
        <v>1</v>
      </c>
      <c r="K84">
        <v>5.610152006149292</v>
      </c>
      <c r="L84" t="b">
        <v>0</v>
      </c>
    </row>
    <row r="85" spans="1:17" x14ac:dyDescent="0.2">
      <c r="A85" t="s">
        <v>41</v>
      </c>
      <c r="B85" t="s">
        <v>17</v>
      </c>
      <c r="C85" t="s">
        <v>33</v>
      </c>
      <c r="D85">
        <v>2025</v>
      </c>
      <c r="E85">
        <v>6</v>
      </c>
      <c r="H85" t="s">
        <v>28</v>
      </c>
      <c r="J85">
        <f t="shared" si="1"/>
        <v>0</v>
      </c>
      <c r="N85">
        <v>5</v>
      </c>
    </row>
    <row r="86" spans="1:17" x14ac:dyDescent="0.2">
      <c r="A86" t="s">
        <v>41</v>
      </c>
      <c r="B86" t="s">
        <v>12</v>
      </c>
      <c r="C86" t="s">
        <v>42</v>
      </c>
      <c r="D86">
        <v>2025</v>
      </c>
      <c r="E86">
        <v>7</v>
      </c>
      <c r="F86" t="s">
        <v>24</v>
      </c>
      <c r="G86" t="s">
        <v>25</v>
      </c>
      <c r="H86" t="s">
        <v>25</v>
      </c>
      <c r="I86" t="b">
        <v>1</v>
      </c>
      <c r="J86">
        <f t="shared" si="1"/>
        <v>1</v>
      </c>
      <c r="K86">
        <v>5.8371920585632324</v>
      </c>
      <c r="L86" t="b">
        <v>0</v>
      </c>
    </row>
    <row r="87" spans="1:17" x14ac:dyDescent="0.2">
      <c r="A87" t="s">
        <v>41</v>
      </c>
      <c r="B87" t="s">
        <v>12</v>
      </c>
      <c r="C87" t="s">
        <v>42</v>
      </c>
      <c r="D87">
        <v>2025</v>
      </c>
      <c r="E87">
        <v>8</v>
      </c>
      <c r="F87" t="s">
        <v>26</v>
      </c>
      <c r="G87" t="s">
        <v>27</v>
      </c>
      <c r="I87" t="b">
        <v>0</v>
      </c>
      <c r="J87">
        <f t="shared" si="1"/>
        <v>0</v>
      </c>
      <c r="K87">
        <v>15</v>
      </c>
      <c r="L87" t="b">
        <v>1</v>
      </c>
    </row>
    <row r="88" spans="1:17" x14ac:dyDescent="0.2">
      <c r="A88" t="s">
        <v>41</v>
      </c>
      <c r="B88" t="s">
        <v>17</v>
      </c>
      <c r="C88" t="s">
        <v>42</v>
      </c>
      <c r="D88">
        <v>2025</v>
      </c>
      <c r="E88">
        <v>9</v>
      </c>
      <c r="H88" t="s">
        <v>23</v>
      </c>
      <c r="J88">
        <f t="shared" si="1"/>
        <v>0</v>
      </c>
      <c r="O88">
        <v>3</v>
      </c>
    </row>
    <row r="89" spans="1:17" x14ac:dyDescent="0.2">
      <c r="A89" t="s">
        <v>41</v>
      </c>
      <c r="B89" t="s">
        <v>12</v>
      </c>
      <c r="C89" t="s">
        <v>71</v>
      </c>
      <c r="D89">
        <v>2025</v>
      </c>
      <c r="E89">
        <v>10</v>
      </c>
      <c r="F89" t="s">
        <v>13</v>
      </c>
      <c r="G89" t="s">
        <v>14</v>
      </c>
      <c r="H89" t="s">
        <v>14</v>
      </c>
      <c r="I89" t="b">
        <v>1</v>
      </c>
      <c r="J89">
        <f t="shared" si="1"/>
        <v>1</v>
      </c>
      <c r="K89">
        <v>6.043522834777832</v>
      </c>
      <c r="L89" t="b">
        <v>0</v>
      </c>
    </row>
    <row r="90" spans="1:17" x14ac:dyDescent="0.2">
      <c r="A90" t="s">
        <v>41</v>
      </c>
      <c r="B90" t="s">
        <v>12</v>
      </c>
      <c r="C90" t="s">
        <v>71</v>
      </c>
      <c r="D90">
        <v>2025</v>
      </c>
      <c r="E90">
        <v>11</v>
      </c>
      <c r="F90" t="s">
        <v>15</v>
      </c>
      <c r="G90" t="s">
        <v>16</v>
      </c>
      <c r="I90" t="b">
        <v>0</v>
      </c>
      <c r="J90">
        <f t="shared" si="1"/>
        <v>0</v>
      </c>
      <c r="K90">
        <v>15</v>
      </c>
      <c r="L90" t="b">
        <v>1</v>
      </c>
    </row>
    <row r="91" spans="1:17" x14ac:dyDescent="0.2">
      <c r="A91" t="s">
        <v>41</v>
      </c>
      <c r="B91" t="s">
        <v>17</v>
      </c>
      <c r="C91" t="s">
        <v>71</v>
      </c>
      <c r="D91">
        <v>2025</v>
      </c>
      <c r="E91">
        <v>12</v>
      </c>
      <c r="H91" t="s">
        <v>28</v>
      </c>
      <c r="J91">
        <f t="shared" si="1"/>
        <v>0</v>
      </c>
      <c r="P91">
        <v>3</v>
      </c>
    </row>
    <row r="92" spans="1:17" x14ac:dyDescent="0.2">
      <c r="A92" t="s">
        <v>41</v>
      </c>
      <c r="B92" t="s">
        <v>32</v>
      </c>
      <c r="C92" t="s">
        <v>42</v>
      </c>
      <c r="D92">
        <v>2025</v>
      </c>
      <c r="H92" t="s">
        <v>42</v>
      </c>
      <c r="J92">
        <f t="shared" si="1"/>
        <v>0</v>
      </c>
      <c r="Q92" t="s">
        <v>42</v>
      </c>
    </row>
    <row r="93" spans="1:17" x14ac:dyDescent="0.2">
      <c r="A93" t="s">
        <v>43</v>
      </c>
      <c r="B93" t="s">
        <v>12</v>
      </c>
      <c r="C93" t="s">
        <v>37</v>
      </c>
      <c r="D93">
        <v>2025</v>
      </c>
      <c r="E93">
        <v>1</v>
      </c>
      <c r="F93" t="s">
        <v>19</v>
      </c>
      <c r="G93" t="s">
        <v>20</v>
      </c>
      <c r="H93" t="s">
        <v>20</v>
      </c>
      <c r="I93" t="b">
        <v>1</v>
      </c>
      <c r="J93">
        <f t="shared" si="1"/>
        <v>1</v>
      </c>
      <c r="K93">
        <v>13.349043846130369</v>
      </c>
      <c r="L93" t="b">
        <v>0</v>
      </c>
    </row>
    <row r="94" spans="1:17" x14ac:dyDescent="0.2">
      <c r="A94" t="s">
        <v>43</v>
      </c>
      <c r="B94" t="s">
        <v>12</v>
      </c>
      <c r="C94" t="s">
        <v>37</v>
      </c>
      <c r="D94">
        <v>2025</v>
      </c>
      <c r="E94">
        <v>2</v>
      </c>
      <c r="F94" t="s">
        <v>21</v>
      </c>
      <c r="G94" t="s">
        <v>22</v>
      </c>
      <c r="H94" t="s">
        <v>22</v>
      </c>
      <c r="I94" t="b">
        <v>1</v>
      </c>
      <c r="J94">
        <f t="shared" si="1"/>
        <v>1</v>
      </c>
      <c r="K94">
        <v>14.583165884017941</v>
      </c>
      <c r="L94" t="b">
        <v>0</v>
      </c>
    </row>
    <row r="95" spans="1:17" x14ac:dyDescent="0.2">
      <c r="A95" t="s">
        <v>43</v>
      </c>
      <c r="B95" t="s">
        <v>17</v>
      </c>
      <c r="C95" t="s">
        <v>37</v>
      </c>
      <c r="D95">
        <v>2025</v>
      </c>
      <c r="E95">
        <v>3</v>
      </c>
      <c r="H95" t="s">
        <v>23</v>
      </c>
      <c r="J95">
        <f t="shared" si="1"/>
        <v>0</v>
      </c>
      <c r="M95">
        <v>5</v>
      </c>
    </row>
    <row r="96" spans="1:17" x14ac:dyDescent="0.2">
      <c r="A96" t="s">
        <v>43</v>
      </c>
      <c r="B96" t="s">
        <v>12</v>
      </c>
      <c r="C96" t="s">
        <v>42</v>
      </c>
      <c r="D96">
        <v>2025</v>
      </c>
      <c r="E96">
        <v>4</v>
      </c>
      <c r="F96" t="s">
        <v>24</v>
      </c>
      <c r="G96" t="s">
        <v>25</v>
      </c>
      <c r="H96" t="s">
        <v>25</v>
      </c>
      <c r="I96" t="b">
        <v>1</v>
      </c>
      <c r="J96">
        <f t="shared" si="1"/>
        <v>1</v>
      </c>
      <c r="K96">
        <v>8.3173148632049561</v>
      </c>
      <c r="L96" t="b">
        <v>0</v>
      </c>
    </row>
    <row r="97" spans="1:17" x14ac:dyDescent="0.2">
      <c r="A97" t="s">
        <v>43</v>
      </c>
      <c r="B97" t="s">
        <v>12</v>
      </c>
      <c r="C97" t="s">
        <v>42</v>
      </c>
      <c r="D97">
        <v>2025</v>
      </c>
      <c r="E97">
        <v>5</v>
      </c>
      <c r="F97" t="s">
        <v>26</v>
      </c>
      <c r="G97" t="s">
        <v>27</v>
      </c>
      <c r="I97" t="b">
        <v>0</v>
      </c>
      <c r="J97">
        <f t="shared" si="1"/>
        <v>0</v>
      </c>
      <c r="K97">
        <v>15</v>
      </c>
      <c r="L97" t="b">
        <v>1</v>
      </c>
    </row>
    <row r="98" spans="1:17" x14ac:dyDescent="0.2">
      <c r="A98" t="s">
        <v>43</v>
      </c>
      <c r="B98" t="s">
        <v>17</v>
      </c>
      <c r="C98" t="s">
        <v>42</v>
      </c>
      <c r="D98">
        <v>2025</v>
      </c>
      <c r="E98">
        <v>6</v>
      </c>
      <c r="H98" t="s">
        <v>23</v>
      </c>
      <c r="J98">
        <f t="shared" si="1"/>
        <v>0</v>
      </c>
      <c r="N98">
        <v>5</v>
      </c>
    </row>
    <row r="99" spans="1:17" x14ac:dyDescent="0.2">
      <c r="A99" t="s">
        <v>43</v>
      </c>
      <c r="B99" t="s">
        <v>12</v>
      </c>
      <c r="C99" t="s">
        <v>33</v>
      </c>
      <c r="D99">
        <v>2025</v>
      </c>
      <c r="E99">
        <v>7</v>
      </c>
      <c r="F99" t="s">
        <v>29</v>
      </c>
      <c r="G99" t="s">
        <v>30</v>
      </c>
      <c r="I99" t="b">
        <v>0</v>
      </c>
      <c r="J99">
        <f t="shared" si="1"/>
        <v>0</v>
      </c>
      <c r="K99">
        <v>15</v>
      </c>
      <c r="L99" t="b">
        <v>1</v>
      </c>
    </row>
    <row r="100" spans="1:17" x14ac:dyDescent="0.2">
      <c r="A100" t="s">
        <v>43</v>
      </c>
      <c r="B100" t="s">
        <v>12</v>
      </c>
      <c r="C100" t="s">
        <v>33</v>
      </c>
      <c r="D100">
        <v>2025</v>
      </c>
      <c r="E100">
        <v>8</v>
      </c>
      <c r="F100" t="s">
        <v>31</v>
      </c>
      <c r="G100" t="s">
        <v>20</v>
      </c>
      <c r="H100" t="s">
        <v>30</v>
      </c>
      <c r="I100" t="b">
        <v>0</v>
      </c>
      <c r="J100">
        <f t="shared" si="1"/>
        <v>0</v>
      </c>
      <c r="K100">
        <v>1.4765539169311519</v>
      </c>
      <c r="L100" t="b">
        <v>0</v>
      </c>
    </row>
    <row r="101" spans="1:17" x14ac:dyDescent="0.2">
      <c r="A101" t="s">
        <v>43</v>
      </c>
      <c r="B101" t="s">
        <v>17</v>
      </c>
      <c r="C101" t="s">
        <v>33</v>
      </c>
      <c r="D101">
        <v>2025</v>
      </c>
      <c r="E101">
        <v>9</v>
      </c>
      <c r="H101" t="s">
        <v>23</v>
      </c>
      <c r="J101">
        <f t="shared" si="1"/>
        <v>0</v>
      </c>
      <c r="O101">
        <v>3</v>
      </c>
    </row>
    <row r="102" spans="1:17" x14ac:dyDescent="0.2">
      <c r="A102" t="s">
        <v>43</v>
      </c>
      <c r="B102" t="s">
        <v>12</v>
      </c>
      <c r="C102" t="s">
        <v>71</v>
      </c>
      <c r="D102">
        <v>2025</v>
      </c>
      <c r="E102">
        <v>10</v>
      </c>
      <c r="F102" t="s">
        <v>13</v>
      </c>
      <c r="G102" t="s">
        <v>14</v>
      </c>
      <c r="H102" t="s">
        <v>14</v>
      </c>
      <c r="I102" t="b">
        <v>1</v>
      </c>
      <c r="J102">
        <f t="shared" si="1"/>
        <v>1</v>
      </c>
      <c r="K102">
        <v>7.8370978832244873</v>
      </c>
      <c r="L102" t="b">
        <v>0</v>
      </c>
    </row>
    <row r="103" spans="1:17" x14ac:dyDescent="0.2">
      <c r="A103" t="s">
        <v>43</v>
      </c>
      <c r="B103" t="s">
        <v>12</v>
      </c>
      <c r="C103" t="s">
        <v>71</v>
      </c>
      <c r="D103">
        <v>2025</v>
      </c>
      <c r="E103">
        <v>11</v>
      </c>
      <c r="F103" t="s">
        <v>15</v>
      </c>
      <c r="G103" t="s">
        <v>16</v>
      </c>
      <c r="I103" t="b">
        <v>0</v>
      </c>
      <c r="J103">
        <f t="shared" si="1"/>
        <v>0</v>
      </c>
      <c r="K103">
        <v>15</v>
      </c>
      <c r="L103" t="b">
        <v>1</v>
      </c>
    </row>
    <row r="104" spans="1:17" x14ac:dyDescent="0.2">
      <c r="A104" t="s">
        <v>43</v>
      </c>
      <c r="B104" t="s">
        <v>17</v>
      </c>
      <c r="C104" t="s">
        <v>71</v>
      </c>
      <c r="D104">
        <v>2025</v>
      </c>
      <c r="E104">
        <v>12</v>
      </c>
      <c r="H104" t="s">
        <v>28</v>
      </c>
      <c r="J104">
        <f t="shared" si="1"/>
        <v>0</v>
      </c>
      <c r="P104">
        <v>5</v>
      </c>
    </row>
    <row r="105" spans="1:17" x14ac:dyDescent="0.2">
      <c r="A105" t="s">
        <v>43</v>
      </c>
      <c r="B105" t="s">
        <v>32</v>
      </c>
      <c r="C105" t="s">
        <v>33</v>
      </c>
      <c r="D105">
        <v>2025</v>
      </c>
      <c r="H105" t="s">
        <v>33</v>
      </c>
      <c r="J105">
        <f t="shared" si="1"/>
        <v>0</v>
      </c>
      <c r="Q105" t="s">
        <v>33</v>
      </c>
    </row>
    <row r="106" spans="1:17" x14ac:dyDescent="0.2">
      <c r="A106" t="s">
        <v>44</v>
      </c>
      <c r="B106" t="s">
        <v>12</v>
      </c>
      <c r="C106" t="s">
        <v>71</v>
      </c>
      <c r="D106">
        <v>2025</v>
      </c>
      <c r="E106">
        <v>1</v>
      </c>
      <c r="F106" t="s">
        <v>13</v>
      </c>
      <c r="G106" t="s">
        <v>14</v>
      </c>
      <c r="H106" t="s">
        <v>14</v>
      </c>
      <c r="I106" t="b">
        <v>1</v>
      </c>
      <c r="J106">
        <f t="shared" si="1"/>
        <v>1</v>
      </c>
      <c r="K106">
        <v>3.6306180953979492</v>
      </c>
      <c r="L106" t="b">
        <v>0</v>
      </c>
    </row>
    <row r="107" spans="1:17" x14ac:dyDescent="0.2">
      <c r="A107" t="s">
        <v>44</v>
      </c>
      <c r="B107" t="s">
        <v>12</v>
      </c>
      <c r="C107" t="s">
        <v>71</v>
      </c>
      <c r="D107">
        <v>2025</v>
      </c>
      <c r="E107">
        <v>2</v>
      </c>
      <c r="F107" t="s">
        <v>15</v>
      </c>
      <c r="G107" t="s">
        <v>16</v>
      </c>
      <c r="I107" t="b">
        <v>0</v>
      </c>
      <c r="J107">
        <f t="shared" si="1"/>
        <v>0</v>
      </c>
      <c r="K107">
        <v>15</v>
      </c>
      <c r="L107" t="b">
        <v>1</v>
      </c>
    </row>
    <row r="108" spans="1:17" x14ac:dyDescent="0.2">
      <c r="A108" t="s">
        <v>44</v>
      </c>
      <c r="B108" t="s">
        <v>17</v>
      </c>
      <c r="C108" t="s">
        <v>71</v>
      </c>
      <c r="D108">
        <v>2025</v>
      </c>
      <c r="E108">
        <v>3</v>
      </c>
      <c r="H108" t="s">
        <v>23</v>
      </c>
      <c r="J108">
        <f t="shared" si="1"/>
        <v>0</v>
      </c>
      <c r="M108">
        <v>3</v>
      </c>
    </row>
    <row r="109" spans="1:17" x14ac:dyDescent="0.2">
      <c r="A109" t="s">
        <v>44</v>
      </c>
      <c r="B109" t="s">
        <v>12</v>
      </c>
      <c r="C109" t="s">
        <v>33</v>
      </c>
      <c r="D109">
        <v>2025</v>
      </c>
      <c r="E109">
        <v>4</v>
      </c>
      <c r="F109" t="s">
        <v>29</v>
      </c>
      <c r="G109" t="s">
        <v>30</v>
      </c>
      <c r="H109" t="s">
        <v>30</v>
      </c>
      <c r="I109" t="b">
        <v>1</v>
      </c>
      <c r="J109">
        <f t="shared" si="1"/>
        <v>1</v>
      </c>
      <c r="K109">
        <v>8.1934049129486084</v>
      </c>
      <c r="L109" t="b">
        <v>0</v>
      </c>
    </row>
    <row r="110" spans="1:17" x14ac:dyDescent="0.2">
      <c r="A110" t="s">
        <v>44</v>
      </c>
      <c r="B110" t="s">
        <v>12</v>
      </c>
      <c r="C110" t="s">
        <v>33</v>
      </c>
      <c r="D110">
        <v>2025</v>
      </c>
      <c r="E110">
        <v>5</v>
      </c>
      <c r="F110" t="s">
        <v>31</v>
      </c>
      <c r="G110" t="s">
        <v>20</v>
      </c>
      <c r="H110" t="s">
        <v>30</v>
      </c>
      <c r="I110" t="b">
        <v>0</v>
      </c>
      <c r="J110">
        <f t="shared" si="1"/>
        <v>0</v>
      </c>
      <c r="K110">
        <v>3.8888840675353999</v>
      </c>
      <c r="L110" t="b">
        <v>0</v>
      </c>
    </row>
    <row r="111" spans="1:17" x14ac:dyDescent="0.2">
      <c r="A111" t="s">
        <v>44</v>
      </c>
      <c r="B111" t="s">
        <v>17</v>
      </c>
      <c r="C111" t="s">
        <v>33</v>
      </c>
      <c r="D111">
        <v>2025</v>
      </c>
      <c r="E111">
        <v>6</v>
      </c>
      <c r="H111" t="s">
        <v>35</v>
      </c>
      <c r="J111">
        <f t="shared" si="1"/>
        <v>0</v>
      </c>
      <c r="N111">
        <v>5</v>
      </c>
    </row>
    <row r="112" spans="1:17" x14ac:dyDescent="0.2">
      <c r="A112" t="s">
        <v>44</v>
      </c>
      <c r="B112" t="s">
        <v>12</v>
      </c>
      <c r="C112" t="s">
        <v>42</v>
      </c>
      <c r="D112">
        <v>2025</v>
      </c>
      <c r="E112">
        <v>7</v>
      </c>
      <c r="F112" t="s">
        <v>24</v>
      </c>
      <c r="G112" t="s">
        <v>25</v>
      </c>
      <c r="H112" t="s">
        <v>25</v>
      </c>
      <c r="I112" t="b">
        <v>1</v>
      </c>
      <c r="J112">
        <f t="shared" si="1"/>
        <v>1</v>
      </c>
      <c r="K112">
        <v>3.9686579704284668</v>
      </c>
      <c r="L112" t="b">
        <v>0</v>
      </c>
    </row>
    <row r="113" spans="1:17" x14ac:dyDescent="0.2">
      <c r="A113" t="s">
        <v>44</v>
      </c>
      <c r="B113" t="s">
        <v>12</v>
      </c>
      <c r="C113" t="s">
        <v>42</v>
      </c>
      <c r="D113">
        <v>2025</v>
      </c>
      <c r="E113">
        <v>8</v>
      </c>
      <c r="F113" t="s">
        <v>26</v>
      </c>
      <c r="G113" t="s">
        <v>27</v>
      </c>
      <c r="H113" t="s">
        <v>45</v>
      </c>
      <c r="I113" t="b">
        <v>0</v>
      </c>
      <c r="J113">
        <f t="shared" si="1"/>
        <v>0</v>
      </c>
      <c r="K113">
        <v>11.50439882278442</v>
      </c>
      <c r="L113" t="b">
        <v>0</v>
      </c>
    </row>
    <row r="114" spans="1:17" x14ac:dyDescent="0.2">
      <c r="A114" t="s">
        <v>44</v>
      </c>
      <c r="B114" t="s">
        <v>17</v>
      </c>
      <c r="C114" t="s">
        <v>42</v>
      </c>
      <c r="D114">
        <v>2025</v>
      </c>
      <c r="E114">
        <v>9</v>
      </c>
      <c r="H114" t="s">
        <v>28</v>
      </c>
      <c r="J114">
        <f t="shared" si="1"/>
        <v>0</v>
      </c>
      <c r="O114">
        <v>5</v>
      </c>
    </row>
    <row r="115" spans="1:17" x14ac:dyDescent="0.2">
      <c r="A115" t="s">
        <v>44</v>
      </c>
      <c r="B115" t="s">
        <v>12</v>
      </c>
      <c r="C115" t="s">
        <v>37</v>
      </c>
      <c r="D115">
        <v>2025</v>
      </c>
      <c r="E115">
        <v>10</v>
      </c>
      <c r="F115" t="s">
        <v>19</v>
      </c>
      <c r="G115" t="s">
        <v>20</v>
      </c>
      <c r="H115" t="s">
        <v>20</v>
      </c>
      <c r="I115" t="b">
        <v>1</v>
      </c>
      <c r="J115">
        <f t="shared" si="1"/>
        <v>1</v>
      </c>
      <c r="K115">
        <v>3.9424829483032231</v>
      </c>
      <c r="L115" t="b">
        <v>0</v>
      </c>
    </row>
    <row r="116" spans="1:17" x14ac:dyDescent="0.2">
      <c r="A116" t="s">
        <v>44</v>
      </c>
      <c r="B116" t="s">
        <v>12</v>
      </c>
      <c r="C116" t="s">
        <v>37</v>
      </c>
      <c r="D116">
        <v>2025</v>
      </c>
      <c r="E116">
        <v>11</v>
      </c>
      <c r="F116" t="s">
        <v>21</v>
      </c>
      <c r="G116" t="s">
        <v>22</v>
      </c>
      <c r="H116" t="s">
        <v>22</v>
      </c>
      <c r="I116" t="b">
        <v>1</v>
      </c>
      <c r="J116">
        <f t="shared" si="1"/>
        <v>1</v>
      </c>
      <c r="K116">
        <v>4.7596800327301034</v>
      </c>
      <c r="L116" t="b">
        <v>0</v>
      </c>
    </row>
    <row r="117" spans="1:17" x14ac:dyDescent="0.2">
      <c r="A117" t="s">
        <v>44</v>
      </c>
      <c r="B117" t="s">
        <v>17</v>
      </c>
      <c r="C117" t="s">
        <v>37</v>
      </c>
      <c r="D117">
        <v>2025</v>
      </c>
      <c r="E117">
        <v>12</v>
      </c>
      <c r="H117" t="s">
        <v>23</v>
      </c>
      <c r="J117">
        <f t="shared" si="1"/>
        <v>0</v>
      </c>
      <c r="P117">
        <v>4</v>
      </c>
    </row>
    <row r="118" spans="1:17" x14ac:dyDescent="0.2">
      <c r="A118" t="s">
        <v>44</v>
      </c>
      <c r="B118" t="s">
        <v>32</v>
      </c>
      <c r="C118" t="s">
        <v>33</v>
      </c>
      <c r="D118">
        <v>2025</v>
      </c>
      <c r="H118" t="s">
        <v>33</v>
      </c>
      <c r="J118">
        <f t="shared" si="1"/>
        <v>0</v>
      </c>
      <c r="Q118" t="s">
        <v>33</v>
      </c>
    </row>
    <row r="119" spans="1:17" x14ac:dyDescent="0.2">
      <c r="A119" t="s">
        <v>46</v>
      </c>
      <c r="B119" t="s">
        <v>12</v>
      </c>
      <c r="C119" t="s">
        <v>42</v>
      </c>
      <c r="D119">
        <v>2025</v>
      </c>
      <c r="E119">
        <v>1</v>
      </c>
      <c r="F119" t="s">
        <v>24</v>
      </c>
      <c r="G119" t="s">
        <v>25</v>
      </c>
      <c r="H119" t="s">
        <v>25</v>
      </c>
      <c r="I119" t="b">
        <v>1</v>
      </c>
      <c r="J119">
        <f t="shared" si="1"/>
        <v>1</v>
      </c>
      <c r="K119">
        <v>5.0859429836273193</v>
      </c>
      <c r="L119" t="b">
        <v>0</v>
      </c>
    </row>
    <row r="120" spans="1:17" x14ac:dyDescent="0.2">
      <c r="A120" t="s">
        <v>46</v>
      </c>
      <c r="B120" t="s">
        <v>12</v>
      </c>
      <c r="C120" t="s">
        <v>42</v>
      </c>
      <c r="D120">
        <v>2025</v>
      </c>
      <c r="E120">
        <v>2</v>
      </c>
      <c r="F120" t="s">
        <v>26</v>
      </c>
      <c r="G120" t="s">
        <v>27</v>
      </c>
      <c r="I120" t="b">
        <v>0</v>
      </c>
      <c r="J120">
        <f t="shared" si="1"/>
        <v>0</v>
      </c>
      <c r="K120">
        <v>15</v>
      </c>
      <c r="L120" t="b">
        <v>1</v>
      </c>
    </row>
    <row r="121" spans="1:17" x14ac:dyDescent="0.2">
      <c r="A121" t="s">
        <v>46</v>
      </c>
      <c r="B121" t="s">
        <v>17</v>
      </c>
      <c r="C121" t="s">
        <v>42</v>
      </c>
      <c r="D121">
        <v>2025</v>
      </c>
      <c r="E121">
        <v>3</v>
      </c>
      <c r="H121" t="s">
        <v>28</v>
      </c>
      <c r="J121">
        <f t="shared" si="1"/>
        <v>0</v>
      </c>
      <c r="M121">
        <v>3</v>
      </c>
    </row>
    <row r="122" spans="1:17" x14ac:dyDescent="0.2">
      <c r="A122" t="s">
        <v>46</v>
      </c>
      <c r="B122" t="s">
        <v>12</v>
      </c>
      <c r="C122" t="s">
        <v>37</v>
      </c>
      <c r="D122">
        <v>2025</v>
      </c>
      <c r="E122">
        <v>4</v>
      </c>
      <c r="F122" t="s">
        <v>19</v>
      </c>
      <c r="G122" t="s">
        <v>20</v>
      </c>
      <c r="H122" t="s">
        <v>20</v>
      </c>
      <c r="I122" t="b">
        <v>1</v>
      </c>
      <c r="J122">
        <f t="shared" si="1"/>
        <v>1</v>
      </c>
      <c r="K122">
        <v>4.6073980331420898</v>
      </c>
      <c r="L122" t="b">
        <v>0</v>
      </c>
    </row>
    <row r="123" spans="1:17" x14ac:dyDescent="0.2">
      <c r="A123" t="s">
        <v>46</v>
      </c>
      <c r="B123" t="s">
        <v>12</v>
      </c>
      <c r="C123" t="s">
        <v>37</v>
      </c>
      <c r="D123">
        <v>2025</v>
      </c>
      <c r="E123">
        <v>5</v>
      </c>
      <c r="F123" t="s">
        <v>21</v>
      </c>
      <c r="G123" t="s">
        <v>22</v>
      </c>
      <c r="H123" t="s">
        <v>22</v>
      </c>
      <c r="I123" t="b">
        <v>1</v>
      </c>
      <c r="J123">
        <f t="shared" si="1"/>
        <v>1</v>
      </c>
      <c r="K123">
        <v>7.5342390537261963</v>
      </c>
      <c r="L123" t="b">
        <v>0</v>
      </c>
    </row>
    <row r="124" spans="1:17" x14ac:dyDescent="0.2">
      <c r="A124" t="s">
        <v>46</v>
      </c>
      <c r="B124" t="s">
        <v>17</v>
      </c>
      <c r="C124" t="s">
        <v>37</v>
      </c>
      <c r="D124">
        <v>2025</v>
      </c>
      <c r="E124">
        <v>6</v>
      </c>
      <c r="H124" t="s">
        <v>23</v>
      </c>
      <c r="J124">
        <f t="shared" si="1"/>
        <v>0</v>
      </c>
      <c r="N124">
        <v>5</v>
      </c>
    </row>
    <row r="125" spans="1:17" x14ac:dyDescent="0.2">
      <c r="A125" t="s">
        <v>46</v>
      </c>
      <c r="B125" t="s">
        <v>12</v>
      </c>
      <c r="C125" t="s">
        <v>71</v>
      </c>
      <c r="D125">
        <v>2025</v>
      </c>
      <c r="E125">
        <v>7</v>
      </c>
      <c r="F125" t="s">
        <v>13</v>
      </c>
      <c r="G125" t="s">
        <v>14</v>
      </c>
      <c r="H125" t="s">
        <v>14</v>
      </c>
      <c r="I125" t="b">
        <v>1</v>
      </c>
      <c r="J125">
        <f t="shared" si="1"/>
        <v>1</v>
      </c>
      <c r="K125">
        <v>6.1340911388397217</v>
      </c>
      <c r="L125" t="b">
        <v>0</v>
      </c>
    </row>
    <row r="126" spans="1:17" x14ac:dyDescent="0.2">
      <c r="A126" t="s">
        <v>46</v>
      </c>
      <c r="B126" t="s">
        <v>12</v>
      </c>
      <c r="C126" t="s">
        <v>71</v>
      </c>
      <c r="D126">
        <v>2025</v>
      </c>
      <c r="E126">
        <v>8</v>
      </c>
      <c r="F126" t="s">
        <v>15</v>
      </c>
      <c r="G126" t="s">
        <v>16</v>
      </c>
      <c r="I126" t="b">
        <v>0</v>
      </c>
      <c r="J126">
        <f t="shared" si="1"/>
        <v>0</v>
      </c>
      <c r="K126">
        <v>15</v>
      </c>
      <c r="L126" t="b">
        <v>1</v>
      </c>
    </row>
    <row r="127" spans="1:17" x14ac:dyDescent="0.2">
      <c r="A127" t="s">
        <v>46</v>
      </c>
      <c r="B127" t="s">
        <v>17</v>
      </c>
      <c r="C127" t="s">
        <v>71</v>
      </c>
      <c r="D127">
        <v>2025</v>
      </c>
      <c r="E127">
        <v>9</v>
      </c>
      <c r="H127" t="s">
        <v>35</v>
      </c>
      <c r="J127">
        <f t="shared" si="1"/>
        <v>0</v>
      </c>
      <c r="O127">
        <v>4</v>
      </c>
    </row>
    <row r="128" spans="1:17" x14ac:dyDescent="0.2">
      <c r="A128" t="s">
        <v>46</v>
      </c>
      <c r="B128" t="s">
        <v>12</v>
      </c>
      <c r="C128" t="s">
        <v>33</v>
      </c>
      <c r="D128">
        <v>2025</v>
      </c>
      <c r="E128">
        <v>10</v>
      </c>
      <c r="F128" t="s">
        <v>29</v>
      </c>
      <c r="G128" t="s">
        <v>30</v>
      </c>
      <c r="H128" t="s">
        <v>30</v>
      </c>
      <c r="I128" t="b">
        <v>1</v>
      </c>
      <c r="J128">
        <f t="shared" si="1"/>
        <v>1</v>
      </c>
      <c r="K128">
        <v>6.4174790382385254</v>
      </c>
      <c r="L128" t="b">
        <v>0</v>
      </c>
    </row>
    <row r="129" spans="1:17" x14ac:dyDescent="0.2">
      <c r="A129" t="s">
        <v>46</v>
      </c>
      <c r="B129" t="s">
        <v>12</v>
      </c>
      <c r="C129" t="s">
        <v>33</v>
      </c>
      <c r="D129">
        <v>2025</v>
      </c>
      <c r="E129">
        <v>11</v>
      </c>
      <c r="F129" t="s">
        <v>31</v>
      </c>
      <c r="G129" t="s">
        <v>20</v>
      </c>
      <c r="H129" t="s">
        <v>20</v>
      </c>
      <c r="I129" t="b">
        <v>1</v>
      </c>
      <c r="J129">
        <f t="shared" si="1"/>
        <v>1</v>
      </c>
      <c r="K129">
        <v>5.6207401752471924</v>
      </c>
      <c r="L129" t="b">
        <v>0</v>
      </c>
    </row>
    <row r="130" spans="1:17" x14ac:dyDescent="0.2">
      <c r="A130" t="s">
        <v>46</v>
      </c>
      <c r="B130" t="s">
        <v>17</v>
      </c>
      <c r="C130" t="s">
        <v>33</v>
      </c>
      <c r="D130">
        <v>2025</v>
      </c>
      <c r="E130">
        <v>12</v>
      </c>
      <c r="H130" t="s">
        <v>23</v>
      </c>
      <c r="J130">
        <f t="shared" si="1"/>
        <v>0</v>
      </c>
      <c r="P130">
        <v>5</v>
      </c>
    </row>
    <row r="131" spans="1:17" x14ac:dyDescent="0.2">
      <c r="A131" t="s">
        <v>46</v>
      </c>
      <c r="B131" t="s">
        <v>32</v>
      </c>
      <c r="C131" t="s">
        <v>37</v>
      </c>
      <c r="D131">
        <v>2025</v>
      </c>
      <c r="H131" t="s">
        <v>37</v>
      </c>
      <c r="J131">
        <f t="shared" ref="J131:J194" si="2">IF(I131=TRUE, 1, 0)</f>
        <v>0</v>
      </c>
      <c r="Q131" t="s">
        <v>37</v>
      </c>
    </row>
    <row r="132" spans="1:17" x14ac:dyDescent="0.2">
      <c r="A132" t="s">
        <v>47</v>
      </c>
      <c r="B132" t="s">
        <v>12</v>
      </c>
      <c r="C132" t="s">
        <v>71</v>
      </c>
      <c r="D132">
        <v>2025</v>
      </c>
      <c r="E132">
        <v>1</v>
      </c>
      <c r="F132" t="s">
        <v>13</v>
      </c>
      <c r="G132" t="s">
        <v>14</v>
      </c>
      <c r="H132" t="s">
        <v>14</v>
      </c>
      <c r="I132" t="b">
        <v>1</v>
      </c>
      <c r="J132">
        <f t="shared" si="2"/>
        <v>1</v>
      </c>
      <c r="K132">
        <v>7.8842120170593262</v>
      </c>
      <c r="L132" t="b">
        <v>0</v>
      </c>
    </row>
    <row r="133" spans="1:17" x14ac:dyDescent="0.2">
      <c r="A133" t="s">
        <v>47</v>
      </c>
      <c r="B133" t="s">
        <v>12</v>
      </c>
      <c r="C133" t="s">
        <v>71</v>
      </c>
      <c r="D133">
        <v>2025</v>
      </c>
      <c r="E133">
        <v>2</v>
      </c>
      <c r="F133" t="s">
        <v>15</v>
      </c>
      <c r="G133" t="s">
        <v>16</v>
      </c>
      <c r="I133" t="b">
        <v>0</v>
      </c>
      <c r="J133">
        <f t="shared" si="2"/>
        <v>0</v>
      </c>
      <c r="K133">
        <v>15</v>
      </c>
      <c r="L133" t="b">
        <v>1</v>
      </c>
    </row>
    <row r="134" spans="1:17" x14ac:dyDescent="0.2">
      <c r="A134" t="s">
        <v>47</v>
      </c>
      <c r="B134" t="s">
        <v>17</v>
      </c>
      <c r="C134" t="s">
        <v>71</v>
      </c>
      <c r="D134">
        <v>2025</v>
      </c>
      <c r="E134">
        <v>3</v>
      </c>
      <c r="H134" t="s">
        <v>28</v>
      </c>
      <c r="J134">
        <f t="shared" si="2"/>
        <v>0</v>
      </c>
      <c r="M134">
        <v>3</v>
      </c>
    </row>
    <row r="135" spans="1:17" x14ac:dyDescent="0.2">
      <c r="A135" t="s">
        <v>47</v>
      </c>
      <c r="B135" t="s">
        <v>12</v>
      </c>
      <c r="C135" t="s">
        <v>37</v>
      </c>
      <c r="D135">
        <v>2025</v>
      </c>
      <c r="E135">
        <v>4</v>
      </c>
      <c r="F135" t="s">
        <v>19</v>
      </c>
      <c r="G135" t="s">
        <v>20</v>
      </c>
      <c r="H135" t="s">
        <v>20</v>
      </c>
      <c r="I135" t="b">
        <v>1</v>
      </c>
      <c r="J135">
        <f t="shared" si="2"/>
        <v>1</v>
      </c>
      <c r="K135">
        <v>5.2362368106842041</v>
      </c>
      <c r="L135" t="b">
        <v>0</v>
      </c>
    </row>
    <row r="136" spans="1:17" x14ac:dyDescent="0.2">
      <c r="A136" t="s">
        <v>47</v>
      </c>
      <c r="B136" t="s">
        <v>12</v>
      </c>
      <c r="C136" t="s">
        <v>37</v>
      </c>
      <c r="D136">
        <v>2025</v>
      </c>
      <c r="E136">
        <v>5</v>
      </c>
      <c r="F136" t="s">
        <v>21</v>
      </c>
      <c r="G136" t="s">
        <v>22</v>
      </c>
      <c r="H136" t="s">
        <v>22</v>
      </c>
      <c r="I136" t="b">
        <v>1</v>
      </c>
      <c r="J136">
        <f t="shared" si="2"/>
        <v>1</v>
      </c>
      <c r="K136">
        <v>6.8094420433044434</v>
      </c>
      <c r="L136" t="b">
        <v>0</v>
      </c>
    </row>
    <row r="137" spans="1:17" x14ac:dyDescent="0.2">
      <c r="A137" t="s">
        <v>47</v>
      </c>
      <c r="B137" t="s">
        <v>17</v>
      </c>
      <c r="C137" t="s">
        <v>37</v>
      </c>
      <c r="D137">
        <v>2025</v>
      </c>
      <c r="E137">
        <v>6</v>
      </c>
      <c r="H137" t="s">
        <v>35</v>
      </c>
      <c r="J137">
        <f t="shared" si="2"/>
        <v>0</v>
      </c>
      <c r="N137">
        <v>4</v>
      </c>
    </row>
    <row r="138" spans="1:17" x14ac:dyDescent="0.2">
      <c r="A138" t="s">
        <v>47</v>
      </c>
      <c r="B138" t="s">
        <v>12</v>
      </c>
      <c r="C138" t="s">
        <v>42</v>
      </c>
      <c r="D138">
        <v>2025</v>
      </c>
      <c r="E138">
        <v>7</v>
      </c>
      <c r="F138" t="s">
        <v>24</v>
      </c>
      <c r="G138" t="s">
        <v>25</v>
      </c>
      <c r="H138" t="s">
        <v>25</v>
      </c>
      <c r="I138" t="b">
        <v>1</v>
      </c>
      <c r="J138">
        <f t="shared" si="2"/>
        <v>1</v>
      </c>
      <c r="K138">
        <v>8.3579850196838379</v>
      </c>
      <c r="L138" t="b">
        <v>0</v>
      </c>
    </row>
    <row r="139" spans="1:17" x14ac:dyDescent="0.2">
      <c r="A139" t="s">
        <v>47</v>
      </c>
      <c r="B139" t="s">
        <v>12</v>
      </c>
      <c r="C139" t="s">
        <v>42</v>
      </c>
      <c r="D139">
        <v>2025</v>
      </c>
      <c r="E139">
        <v>8</v>
      </c>
      <c r="F139" t="s">
        <v>26</v>
      </c>
      <c r="G139" t="s">
        <v>27</v>
      </c>
      <c r="H139" t="s">
        <v>45</v>
      </c>
      <c r="I139" t="b">
        <v>0</v>
      </c>
      <c r="J139">
        <f t="shared" si="2"/>
        <v>0</v>
      </c>
      <c r="K139">
        <v>13.47494196891785</v>
      </c>
      <c r="L139" t="b">
        <v>0</v>
      </c>
    </row>
    <row r="140" spans="1:17" x14ac:dyDescent="0.2">
      <c r="A140" t="s">
        <v>47</v>
      </c>
      <c r="B140" t="s">
        <v>17</v>
      </c>
      <c r="C140" t="s">
        <v>42</v>
      </c>
      <c r="D140">
        <v>2025</v>
      </c>
      <c r="E140">
        <v>9</v>
      </c>
      <c r="H140" t="s">
        <v>28</v>
      </c>
      <c r="J140">
        <f t="shared" si="2"/>
        <v>0</v>
      </c>
      <c r="O140">
        <v>3</v>
      </c>
    </row>
    <row r="141" spans="1:17" x14ac:dyDescent="0.2">
      <c r="A141" t="s">
        <v>47</v>
      </c>
      <c r="B141" t="s">
        <v>12</v>
      </c>
      <c r="C141" t="s">
        <v>33</v>
      </c>
      <c r="D141">
        <v>2025</v>
      </c>
      <c r="E141">
        <v>10</v>
      </c>
      <c r="F141" t="s">
        <v>29</v>
      </c>
      <c r="G141" t="s">
        <v>30</v>
      </c>
      <c r="H141" t="s">
        <v>30</v>
      </c>
      <c r="I141" t="b">
        <v>1</v>
      </c>
      <c r="J141">
        <f t="shared" si="2"/>
        <v>1</v>
      </c>
      <c r="K141">
        <v>4.6245830059051514</v>
      </c>
      <c r="L141" t="b">
        <v>0</v>
      </c>
    </row>
    <row r="142" spans="1:17" x14ac:dyDescent="0.2">
      <c r="A142" t="s">
        <v>47</v>
      </c>
      <c r="B142" t="s">
        <v>12</v>
      </c>
      <c r="C142" t="s">
        <v>33</v>
      </c>
      <c r="D142">
        <v>2025</v>
      </c>
      <c r="E142">
        <v>11</v>
      </c>
      <c r="F142" t="s">
        <v>31</v>
      </c>
      <c r="G142" t="s">
        <v>20</v>
      </c>
      <c r="H142" t="s">
        <v>30</v>
      </c>
      <c r="I142" t="b">
        <v>0</v>
      </c>
      <c r="J142">
        <f t="shared" si="2"/>
        <v>0</v>
      </c>
      <c r="K142">
        <v>8.1057047843933105</v>
      </c>
      <c r="L142" t="b">
        <v>0</v>
      </c>
    </row>
    <row r="143" spans="1:17" x14ac:dyDescent="0.2">
      <c r="A143" t="s">
        <v>47</v>
      </c>
      <c r="B143" t="s">
        <v>17</v>
      </c>
      <c r="C143" t="s">
        <v>33</v>
      </c>
      <c r="D143">
        <v>2025</v>
      </c>
      <c r="E143">
        <v>12</v>
      </c>
      <c r="H143" t="s">
        <v>28</v>
      </c>
      <c r="J143">
        <f t="shared" si="2"/>
        <v>0</v>
      </c>
      <c r="P143">
        <v>3</v>
      </c>
    </row>
    <row r="144" spans="1:17" x14ac:dyDescent="0.2">
      <c r="A144" t="s">
        <v>47</v>
      </c>
      <c r="B144" t="s">
        <v>32</v>
      </c>
      <c r="C144" t="s">
        <v>37</v>
      </c>
      <c r="D144">
        <v>2025</v>
      </c>
      <c r="H144" t="s">
        <v>37</v>
      </c>
      <c r="J144">
        <f t="shared" si="2"/>
        <v>0</v>
      </c>
      <c r="Q144" t="s">
        <v>37</v>
      </c>
    </row>
    <row r="145" spans="1:17" x14ac:dyDescent="0.2">
      <c r="A145" t="s">
        <v>53</v>
      </c>
      <c r="B145" t="s">
        <v>12</v>
      </c>
      <c r="C145" t="s">
        <v>33</v>
      </c>
      <c r="D145">
        <v>2025</v>
      </c>
      <c r="E145">
        <v>1</v>
      </c>
      <c r="F145" t="s">
        <v>29</v>
      </c>
      <c r="G145" t="s">
        <v>30</v>
      </c>
      <c r="H145" t="s">
        <v>30</v>
      </c>
      <c r="I145" t="b">
        <v>1</v>
      </c>
      <c r="J145">
        <f t="shared" si="2"/>
        <v>1</v>
      </c>
      <c r="K145">
        <v>9.5022470951080322</v>
      </c>
      <c r="L145" t="b">
        <v>0</v>
      </c>
    </row>
    <row r="146" spans="1:17" x14ac:dyDescent="0.2">
      <c r="A146" t="s">
        <v>53</v>
      </c>
      <c r="B146" t="s">
        <v>12</v>
      </c>
      <c r="C146" t="s">
        <v>33</v>
      </c>
      <c r="D146">
        <v>2025</v>
      </c>
      <c r="E146">
        <v>2</v>
      </c>
      <c r="F146" t="s">
        <v>31</v>
      </c>
      <c r="G146" t="s">
        <v>20</v>
      </c>
      <c r="H146" t="s">
        <v>20</v>
      </c>
      <c r="I146" t="b">
        <v>1</v>
      </c>
      <c r="J146">
        <f t="shared" si="2"/>
        <v>1</v>
      </c>
      <c r="K146">
        <v>5.8808410167694092</v>
      </c>
      <c r="L146" t="b">
        <v>0</v>
      </c>
    </row>
    <row r="147" spans="1:17" x14ac:dyDescent="0.2">
      <c r="A147" t="s">
        <v>53</v>
      </c>
      <c r="B147" t="s">
        <v>17</v>
      </c>
      <c r="C147" t="s">
        <v>33</v>
      </c>
      <c r="D147">
        <v>2025</v>
      </c>
      <c r="E147">
        <v>3</v>
      </c>
      <c r="H147" t="s">
        <v>23</v>
      </c>
      <c r="J147">
        <f t="shared" si="2"/>
        <v>0</v>
      </c>
      <c r="P147">
        <v>5</v>
      </c>
    </row>
    <row r="148" spans="1:17" x14ac:dyDescent="0.2">
      <c r="A148" t="s">
        <v>53</v>
      </c>
      <c r="B148" t="s">
        <v>12</v>
      </c>
      <c r="C148" t="s">
        <v>42</v>
      </c>
      <c r="D148">
        <v>2025</v>
      </c>
      <c r="E148">
        <v>4</v>
      </c>
      <c r="F148" t="s">
        <v>24</v>
      </c>
      <c r="G148" t="s">
        <v>25</v>
      </c>
      <c r="H148" t="s">
        <v>25</v>
      </c>
      <c r="I148" t="b">
        <v>1</v>
      </c>
      <c r="J148">
        <f t="shared" si="2"/>
        <v>1</v>
      </c>
      <c r="K148">
        <v>8.4020318984985352</v>
      </c>
      <c r="L148" t="b">
        <v>0</v>
      </c>
    </row>
    <row r="149" spans="1:17" x14ac:dyDescent="0.2">
      <c r="A149" t="s">
        <v>53</v>
      </c>
      <c r="B149" t="s">
        <v>12</v>
      </c>
      <c r="C149" t="s">
        <v>42</v>
      </c>
      <c r="D149">
        <v>2025</v>
      </c>
      <c r="E149">
        <v>5</v>
      </c>
      <c r="F149" t="s">
        <v>26</v>
      </c>
      <c r="G149" t="s">
        <v>27</v>
      </c>
      <c r="I149" t="b">
        <v>0</v>
      </c>
      <c r="J149">
        <f t="shared" si="2"/>
        <v>0</v>
      </c>
      <c r="K149">
        <v>15</v>
      </c>
      <c r="L149" t="b">
        <v>1</v>
      </c>
    </row>
    <row r="150" spans="1:17" x14ac:dyDescent="0.2">
      <c r="A150" t="s">
        <v>53</v>
      </c>
      <c r="B150" t="s">
        <v>17</v>
      </c>
      <c r="C150" t="s">
        <v>42</v>
      </c>
      <c r="D150">
        <v>2025</v>
      </c>
      <c r="E150">
        <v>6</v>
      </c>
      <c r="H150" t="s">
        <v>23</v>
      </c>
      <c r="J150">
        <f t="shared" si="2"/>
        <v>0</v>
      </c>
      <c r="M150">
        <v>5</v>
      </c>
    </row>
    <row r="151" spans="1:17" x14ac:dyDescent="0.2">
      <c r="A151" t="s">
        <v>53</v>
      </c>
      <c r="B151" t="s">
        <v>12</v>
      </c>
      <c r="C151" t="s">
        <v>71</v>
      </c>
      <c r="D151">
        <v>2025</v>
      </c>
      <c r="E151">
        <v>7</v>
      </c>
      <c r="F151" t="s">
        <v>13</v>
      </c>
      <c r="G151" t="s">
        <v>14</v>
      </c>
      <c r="H151" t="s">
        <v>14</v>
      </c>
      <c r="I151" t="b">
        <v>1</v>
      </c>
      <c r="J151">
        <f t="shared" si="2"/>
        <v>1</v>
      </c>
      <c r="K151">
        <v>9.3563599586486816</v>
      </c>
      <c r="L151" t="b">
        <v>0</v>
      </c>
    </row>
    <row r="152" spans="1:17" x14ac:dyDescent="0.2">
      <c r="A152" t="s">
        <v>53</v>
      </c>
      <c r="B152" t="s">
        <v>12</v>
      </c>
      <c r="C152" t="s">
        <v>71</v>
      </c>
      <c r="D152">
        <v>2025</v>
      </c>
      <c r="E152">
        <v>8</v>
      </c>
      <c r="F152" t="s">
        <v>15</v>
      </c>
      <c r="G152" t="s">
        <v>16</v>
      </c>
      <c r="I152" t="b">
        <v>0</v>
      </c>
      <c r="J152">
        <f t="shared" si="2"/>
        <v>0</v>
      </c>
      <c r="K152">
        <v>15</v>
      </c>
      <c r="L152" t="b">
        <v>1</v>
      </c>
    </row>
    <row r="153" spans="1:17" x14ac:dyDescent="0.2">
      <c r="A153" t="s">
        <v>53</v>
      </c>
      <c r="B153" t="s">
        <v>17</v>
      </c>
      <c r="C153" t="s">
        <v>71</v>
      </c>
      <c r="D153">
        <v>2025</v>
      </c>
      <c r="E153">
        <v>9</v>
      </c>
      <c r="H153" t="s">
        <v>28</v>
      </c>
      <c r="J153">
        <f t="shared" si="2"/>
        <v>0</v>
      </c>
      <c r="O153">
        <v>3</v>
      </c>
    </row>
    <row r="154" spans="1:17" x14ac:dyDescent="0.2">
      <c r="A154" t="s">
        <v>53</v>
      </c>
      <c r="B154" t="s">
        <v>12</v>
      </c>
      <c r="C154" t="s">
        <v>37</v>
      </c>
      <c r="D154">
        <v>2025</v>
      </c>
      <c r="E154">
        <v>10</v>
      </c>
      <c r="F154" t="s">
        <v>19</v>
      </c>
      <c r="G154" t="s">
        <v>20</v>
      </c>
      <c r="H154" t="s">
        <v>20</v>
      </c>
      <c r="I154" t="b">
        <v>1</v>
      </c>
      <c r="J154">
        <f t="shared" si="2"/>
        <v>1</v>
      </c>
      <c r="K154">
        <v>6.0388040542602539</v>
      </c>
      <c r="L154" t="b">
        <v>0</v>
      </c>
    </row>
    <row r="155" spans="1:17" x14ac:dyDescent="0.2">
      <c r="A155" t="s">
        <v>53</v>
      </c>
      <c r="B155" t="s">
        <v>12</v>
      </c>
      <c r="C155" t="s">
        <v>37</v>
      </c>
      <c r="D155">
        <v>2025</v>
      </c>
      <c r="E155">
        <v>11</v>
      </c>
      <c r="F155" t="s">
        <v>21</v>
      </c>
      <c r="G155" t="s">
        <v>22</v>
      </c>
      <c r="I155" t="b">
        <v>0</v>
      </c>
      <c r="J155">
        <f t="shared" si="2"/>
        <v>0</v>
      </c>
      <c r="K155">
        <v>15</v>
      </c>
      <c r="L155" t="b">
        <v>1</v>
      </c>
    </row>
    <row r="156" spans="1:17" x14ac:dyDescent="0.2">
      <c r="A156" t="s">
        <v>53</v>
      </c>
      <c r="B156" t="s">
        <v>17</v>
      </c>
      <c r="C156" t="s">
        <v>37</v>
      </c>
      <c r="D156">
        <v>2025</v>
      </c>
      <c r="E156">
        <v>12</v>
      </c>
      <c r="H156" t="s">
        <v>35</v>
      </c>
      <c r="J156">
        <f t="shared" si="2"/>
        <v>0</v>
      </c>
      <c r="N156">
        <v>4</v>
      </c>
    </row>
    <row r="157" spans="1:17" x14ac:dyDescent="0.2">
      <c r="A157" t="s">
        <v>53</v>
      </c>
      <c r="B157" t="s">
        <v>32</v>
      </c>
      <c r="C157" t="s">
        <v>37</v>
      </c>
      <c r="D157">
        <v>2025</v>
      </c>
      <c r="H157" t="s">
        <v>37</v>
      </c>
      <c r="J157">
        <f t="shared" si="2"/>
        <v>0</v>
      </c>
      <c r="Q157" t="s">
        <v>37</v>
      </c>
    </row>
    <row r="158" spans="1:17" x14ac:dyDescent="0.2">
      <c r="A158" t="s">
        <v>54</v>
      </c>
      <c r="B158" t="s">
        <v>12</v>
      </c>
      <c r="C158" t="s">
        <v>33</v>
      </c>
      <c r="D158">
        <v>2025</v>
      </c>
      <c r="E158">
        <v>1</v>
      </c>
      <c r="F158" t="s">
        <v>29</v>
      </c>
      <c r="G158" t="s">
        <v>30</v>
      </c>
      <c r="H158" t="s">
        <v>30</v>
      </c>
      <c r="I158" t="b">
        <v>1</v>
      </c>
      <c r="J158">
        <f t="shared" si="2"/>
        <v>1</v>
      </c>
      <c r="K158">
        <v>11.6679220199585</v>
      </c>
      <c r="L158" t="b">
        <v>0</v>
      </c>
    </row>
    <row r="159" spans="1:17" x14ac:dyDescent="0.2">
      <c r="A159" t="s">
        <v>54</v>
      </c>
      <c r="B159" t="s">
        <v>12</v>
      </c>
      <c r="C159" t="s">
        <v>33</v>
      </c>
      <c r="D159">
        <v>2025</v>
      </c>
      <c r="E159">
        <v>2</v>
      </c>
      <c r="F159" t="s">
        <v>31</v>
      </c>
      <c r="G159" t="s">
        <v>20</v>
      </c>
      <c r="H159" t="s">
        <v>20</v>
      </c>
      <c r="I159" t="b">
        <v>1</v>
      </c>
      <c r="J159">
        <f t="shared" si="2"/>
        <v>1</v>
      </c>
      <c r="K159">
        <v>6.9328451156616211</v>
      </c>
      <c r="L159" t="b">
        <v>0</v>
      </c>
    </row>
    <row r="160" spans="1:17" x14ac:dyDescent="0.2">
      <c r="A160" t="s">
        <v>54</v>
      </c>
      <c r="B160" t="s">
        <v>17</v>
      </c>
      <c r="C160" t="s">
        <v>33</v>
      </c>
      <c r="D160">
        <v>2025</v>
      </c>
      <c r="E160">
        <v>3</v>
      </c>
      <c r="H160" t="s">
        <v>23</v>
      </c>
      <c r="J160">
        <f t="shared" si="2"/>
        <v>0</v>
      </c>
      <c r="P160">
        <v>5</v>
      </c>
    </row>
    <row r="161" spans="1:17" x14ac:dyDescent="0.2">
      <c r="A161" t="s">
        <v>54</v>
      </c>
      <c r="B161" t="s">
        <v>12</v>
      </c>
      <c r="C161" t="s">
        <v>42</v>
      </c>
      <c r="D161">
        <v>2025</v>
      </c>
      <c r="E161">
        <v>4</v>
      </c>
      <c r="F161" t="s">
        <v>24</v>
      </c>
      <c r="G161" t="s">
        <v>25</v>
      </c>
      <c r="H161" t="s">
        <v>25</v>
      </c>
      <c r="I161" t="b">
        <v>1</v>
      </c>
      <c r="J161">
        <f t="shared" si="2"/>
        <v>1</v>
      </c>
      <c r="K161">
        <v>7.8354051113128662</v>
      </c>
      <c r="L161" t="b">
        <v>0</v>
      </c>
    </row>
    <row r="162" spans="1:17" x14ac:dyDescent="0.2">
      <c r="A162" t="s">
        <v>54</v>
      </c>
      <c r="B162" t="s">
        <v>12</v>
      </c>
      <c r="C162" t="s">
        <v>42</v>
      </c>
      <c r="D162">
        <v>2025</v>
      </c>
      <c r="E162">
        <v>5</v>
      </c>
      <c r="F162" t="s">
        <v>26</v>
      </c>
      <c r="G162" t="s">
        <v>27</v>
      </c>
      <c r="I162" t="b">
        <v>0</v>
      </c>
      <c r="J162">
        <f t="shared" si="2"/>
        <v>0</v>
      </c>
      <c r="K162">
        <v>15</v>
      </c>
      <c r="L162" t="b">
        <v>1</v>
      </c>
    </row>
    <row r="163" spans="1:17" x14ac:dyDescent="0.2">
      <c r="A163" t="s">
        <v>54</v>
      </c>
      <c r="B163" t="s">
        <v>17</v>
      </c>
      <c r="C163" t="s">
        <v>42</v>
      </c>
      <c r="D163">
        <v>2025</v>
      </c>
      <c r="E163">
        <v>6</v>
      </c>
      <c r="H163" t="s">
        <v>28</v>
      </c>
      <c r="J163">
        <f t="shared" si="2"/>
        <v>0</v>
      </c>
      <c r="M163">
        <v>3</v>
      </c>
    </row>
    <row r="164" spans="1:17" x14ac:dyDescent="0.2">
      <c r="A164" t="s">
        <v>54</v>
      </c>
      <c r="B164" t="s">
        <v>12</v>
      </c>
      <c r="C164" t="s">
        <v>37</v>
      </c>
      <c r="D164">
        <v>2025</v>
      </c>
      <c r="E164">
        <v>7</v>
      </c>
      <c r="F164" t="s">
        <v>19</v>
      </c>
      <c r="G164" t="s">
        <v>20</v>
      </c>
      <c r="H164" t="s">
        <v>20</v>
      </c>
      <c r="I164" t="b">
        <v>1</v>
      </c>
      <c r="J164">
        <f t="shared" si="2"/>
        <v>1</v>
      </c>
      <c r="K164">
        <v>10.10438203811646</v>
      </c>
      <c r="L164" t="b">
        <v>0</v>
      </c>
    </row>
    <row r="165" spans="1:17" x14ac:dyDescent="0.2">
      <c r="A165" t="s">
        <v>54</v>
      </c>
      <c r="B165" t="s">
        <v>12</v>
      </c>
      <c r="C165" t="s">
        <v>37</v>
      </c>
      <c r="D165">
        <v>2025</v>
      </c>
      <c r="E165">
        <v>8</v>
      </c>
      <c r="F165" t="s">
        <v>21</v>
      </c>
      <c r="G165" t="s">
        <v>22</v>
      </c>
      <c r="H165" t="s">
        <v>22</v>
      </c>
      <c r="I165" t="b">
        <v>1</v>
      </c>
      <c r="J165">
        <f t="shared" si="2"/>
        <v>1</v>
      </c>
      <c r="K165">
        <v>8.9310159683227539</v>
      </c>
      <c r="L165" t="b">
        <v>0</v>
      </c>
    </row>
    <row r="166" spans="1:17" x14ac:dyDescent="0.2">
      <c r="A166" t="s">
        <v>54</v>
      </c>
      <c r="B166" t="s">
        <v>17</v>
      </c>
      <c r="C166" t="s">
        <v>37</v>
      </c>
      <c r="D166">
        <v>2025</v>
      </c>
      <c r="E166">
        <v>9</v>
      </c>
      <c r="H166" t="s">
        <v>23</v>
      </c>
      <c r="J166">
        <f t="shared" si="2"/>
        <v>0</v>
      </c>
      <c r="N166">
        <v>5</v>
      </c>
    </row>
    <row r="167" spans="1:17" x14ac:dyDescent="0.2">
      <c r="A167" t="s">
        <v>54</v>
      </c>
      <c r="B167" t="s">
        <v>12</v>
      </c>
      <c r="C167" t="s">
        <v>71</v>
      </c>
      <c r="D167">
        <v>2025</v>
      </c>
      <c r="E167">
        <v>10</v>
      </c>
      <c r="F167" t="s">
        <v>13</v>
      </c>
      <c r="G167" t="s">
        <v>14</v>
      </c>
      <c r="H167" t="s">
        <v>14</v>
      </c>
      <c r="I167" t="b">
        <v>1</v>
      </c>
      <c r="J167">
        <f t="shared" si="2"/>
        <v>1</v>
      </c>
      <c r="K167">
        <v>13.671492099761959</v>
      </c>
      <c r="L167" t="b">
        <v>0</v>
      </c>
    </row>
    <row r="168" spans="1:17" x14ac:dyDescent="0.2">
      <c r="A168" t="s">
        <v>54</v>
      </c>
      <c r="B168" t="s">
        <v>12</v>
      </c>
      <c r="C168" t="s">
        <v>71</v>
      </c>
      <c r="D168">
        <v>2025</v>
      </c>
      <c r="E168">
        <v>11</v>
      </c>
      <c r="F168" t="s">
        <v>15</v>
      </c>
      <c r="G168" t="s">
        <v>16</v>
      </c>
      <c r="I168" t="b">
        <v>0</v>
      </c>
      <c r="J168">
        <f t="shared" si="2"/>
        <v>0</v>
      </c>
      <c r="K168">
        <v>15</v>
      </c>
      <c r="L168" t="b">
        <v>1</v>
      </c>
    </row>
    <row r="169" spans="1:17" x14ac:dyDescent="0.2">
      <c r="A169" t="s">
        <v>54</v>
      </c>
      <c r="B169" t="s">
        <v>17</v>
      </c>
      <c r="C169" t="s">
        <v>71</v>
      </c>
      <c r="D169">
        <v>2025</v>
      </c>
      <c r="E169">
        <v>12</v>
      </c>
      <c r="H169" t="s">
        <v>28</v>
      </c>
      <c r="J169">
        <f t="shared" si="2"/>
        <v>0</v>
      </c>
      <c r="O169">
        <v>3</v>
      </c>
    </row>
    <row r="170" spans="1:17" x14ac:dyDescent="0.2">
      <c r="A170" t="s">
        <v>54</v>
      </c>
      <c r="B170" t="s">
        <v>32</v>
      </c>
      <c r="C170" t="s">
        <v>37</v>
      </c>
      <c r="D170">
        <v>2025</v>
      </c>
      <c r="H170" t="s">
        <v>37</v>
      </c>
      <c r="J170">
        <f t="shared" si="2"/>
        <v>0</v>
      </c>
      <c r="Q170" t="s">
        <v>37</v>
      </c>
    </row>
    <row r="171" spans="1:17" x14ac:dyDescent="0.2">
      <c r="A171" t="s">
        <v>55</v>
      </c>
      <c r="B171" t="s">
        <v>12</v>
      </c>
      <c r="C171" t="s">
        <v>42</v>
      </c>
      <c r="D171">
        <v>2025</v>
      </c>
      <c r="E171">
        <v>1</v>
      </c>
      <c r="F171" t="s">
        <v>24</v>
      </c>
      <c r="G171" t="s">
        <v>25</v>
      </c>
      <c r="H171" t="s">
        <v>25</v>
      </c>
      <c r="I171" t="b">
        <v>1</v>
      </c>
      <c r="J171">
        <f t="shared" si="2"/>
        <v>1</v>
      </c>
      <c r="K171">
        <v>5.1872940063476562</v>
      </c>
      <c r="L171" t="b">
        <v>0</v>
      </c>
    </row>
    <row r="172" spans="1:17" x14ac:dyDescent="0.2">
      <c r="A172" t="s">
        <v>55</v>
      </c>
      <c r="B172" t="s">
        <v>12</v>
      </c>
      <c r="C172" t="s">
        <v>42</v>
      </c>
      <c r="D172">
        <v>2025</v>
      </c>
      <c r="E172">
        <v>2</v>
      </c>
      <c r="F172" t="s">
        <v>26</v>
      </c>
      <c r="G172" t="s">
        <v>27</v>
      </c>
      <c r="I172" t="b">
        <v>0</v>
      </c>
      <c r="J172">
        <f t="shared" si="2"/>
        <v>0</v>
      </c>
      <c r="K172">
        <v>15</v>
      </c>
      <c r="L172" t="b">
        <v>1</v>
      </c>
    </row>
    <row r="173" spans="1:17" x14ac:dyDescent="0.2">
      <c r="A173" t="s">
        <v>55</v>
      </c>
      <c r="B173" t="s">
        <v>17</v>
      </c>
      <c r="C173" t="s">
        <v>42</v>
      </c>
      <c r="D173">
        <v>2025</v>
      </c>
      <c r="E173">
        <v>3</v>
      </c>
      <c r="H173" t="s">
        <v>28</v>
      </c>
      <c r="J173">
        <f t="shared" si="2"/>
        <v>0</v>
      </c>
      <c r="M173">
        <v>3</v>
      </c>
    </row>
    <row r="174" spans="1:17" x14ac:dyDescent="0.2">
      <c r="A174" t="s">
        <v>55</v>
      </c>
      <c r="B174" t="s">
        <v>12</v>
      </c>
      <c r="C174" t="s">
        <v>71</v>
      </c>
      <c r="D174">
        <v>2025</v>
      </c>
      <c r="E174">
        <v>4</v>
      </c>
      <c r="F174" t="s">
        <v>13</v>
      </c>
      <c r="G174" t="s">
        <v>14</v>
      </c>
      <c r="H174" t="s">
        <v>14</v>
      </c>
      <c r="I174" t="b">
        <v>1</v>
      </c>
      <c r="J174">
        <f t="shared" si="2"/>
        <v>1</v>
      </c>
      <c r="K174">
        <v>3.610435009002686</v>
      </c>
      <c r="L174" t="b">
        <v>0</v>
      </c>
    </row>
    <row r="175" spans="1:17" x14ac:dyDescent="0.2">
      <c r="A175" t="s">
        <v>55</v>
      </c>
      <c r="B175" t="s">
        <v>12</v>
      </c>
      <c r="C175" t="s">
        <v>71</v>
      </c>
      <c r="D175">
        <v>2025</v>
      </c>
      <c r="E175">
        <v>5</v>
      </c>
      <c r="F175" t="s">
        <v>15</v>
      </c>
      <c r="G175" t="s">
        <v>16</v>
      </c>
      <c r="H175" t="s">
        <v>16</v>
      </c>
      <c r="I175" t="b">
        <v>1</v>
      </c>
      <c r="J175">
        <f t="shared" si="2"/>
        <v>1</v>
      </c>
      <c r="K175">
        <v>9.31656813621521</v>
      </c>
      <c r="L175" t="b">
        <v>0</v>
      </c>
    </row>
    <row r="176" spans="1:17" x14ac:dyDescent="0.2">
      <c r="A176" t="s">
        <v>55</v>
      </c>
      <c r="B176" t="s">
        <v>17</v>
      </c>
      <c r="C176" t="s">
        <v>71</v>
      </c>
      <c r="D176">
        <v>2025</v>
      </c>
      <c r="E176">
        <v>6</v>
      </c>
      <c r="H176" t="s">
        <v>28</v>
      </c>
      <c r="J176">
        <f t="shared" si="2"/>
        <v>0</v>
      </c>
      <c r="O176">
        <v>3</v>
      </c>
    </row>
    <row r="177" spans="1:17" x14ac:dyDescent="0.2">
      <c r="A177" t="s">
        <v>55</v>
      </c>
      <c r="B177" t="s">
        <v>12</v>
      </c>
      <c r="C177" t="s">
        <v>37</v>
      </c>
      <c r="D177">
        <v>2025</v>
      </c>
      <c r="E177">
        <v>7</v>
      </c>
      <c r="F177" t="s">
        <v>19</v>
      </c>
      <c r="G177" t="s">
        <v>20</v>
      </c>
      <c r="H177" t="s">
        <v>20</v>
      </c>
      <c r="I177" t="b">
        <v>1</v>
      </c>
      <c r="J177">
        <f t="shared" si="2"/>
        <v>1</v>
      </c>
      <c r="K177">
        <v>5.6020851135253906</v>
      </c>
      <c r="L177" t="b">
        <v>0</v>
      </c>
    </row>
    <row r="178" spans="1:17" x14ac:dyDescent="0.2">
      <c r="A178" t="s">
        <v>55</v>
      </c>
      <c r="B178" t="s">
        <v>12</v>
      </c>
      <c r="C178" t="s">
        <v>37</v>
      </c>
      <c r="D178">
        <v>2025</v>
      </c>
      <c r="E178">
        <v>8</v>
      </c>
      <c r="F178" t="s">
        <v>21</v>
      </c>
      <c r="G178" t="s">
        <v>22</v>
      </c>
      <c r="H178" t="s">
        <v>22</v>
      </c>
      <c r="I178" t="b">
        <v>1</v>
      </c>
      <c r="J178">
        <f t="shared" si="2"/>
        <v>1</v>
      </c>
      <c r="K178">
        <v>4.7281050682067871</v>
      </c>
      <c r="L178" t="b">
        <v>0</v>
      </c>
    </row>
    <row r="179" spans="1:17" x14ac:dyDescent="0.2">
      <c r="A179" t="s">
        <v>55</v>
      </c>
      <c r="B179" t="s">
        <v>17</v>
      </c>
      <c r="C179" t="s">
        <v>37</v>
      </c>
      <c r="D179">
        <v>2025</v>
      </c>
      <c r="E179">
        <v>9</v>
      </c>
      <c r="H179" t="s">
        <v>35</v>
      </c>
      <c r="J179">
        <f t="shared" si="2"/>
        <v>0</v>
      </c>
      <c r="N179">
        <v>4</v>
      </c>
    </row>
    <row r="180" spans="1:17" x14ac:dyDescent="0.2">
      <c r="A180" t="s">
        <v>55</v>
      </c>
      <c r="B180" t="s">
        <v>12</v>
      </c>
      <c r="C180" t="s">
        <v>33</v>
      </c>
      <c r="D180">
        <v>2025</v>
      </c>
      <c r="E180">
        <v>10</v>
      </c>
      <c r="F180" t="s">
        <v>29</v>
      </c>
      <c r="G180" t="s">
        <v>30</v>
      </c>
      <c r="I180" t="b">
        <v>0</v>
      </c>
      <c r="J180">
        <f t="shared" si="2"/>
        <v>0</v>
      </c>
      <c r="K180">
        <v>15</v>
      </c>
      <c r="L180" t="b">
        <v>1</v>
      </c>
    </row>
    <row r="181" spans="1:17" x14ac:dyDescent="0.2">
      <c r="A181" t="s">
        <v>55</v>
      </c>
      <c r="B181" t="s">
        <v>12</v>
      </c>
      <c r="C181" t="s">
        <v>33</v>
      </c>
      <c r="D181">
        <v>2025</v>
      </c>
      <c r="E181">
        <v>11</v>
      </c>
      <c r="F181" t="s">
        <v>31</v>
      </c>
      <c r="G181" t="s">
        <v>20</v>
      </c>
      <c r="H181" t="s">
        <v>20</v>
      </c>
      <c r="I181" t="b">
        <v>1</v>
      </c>
      <c r="J181">
        <f t="shared" si="2"/>
        <v>1</v>
      </c>
      <c r="K181">
        <v>3.802472829818726</v>
      </c>
      <c r="L181" t="b">
        <v>0</v>
      </c>
    </row>
    <row r="182" spans="1:17" x14ac:dyDescent="0.2">
      <c r="A182" t="s">
        <v>55</v>
      </c>
      <c r="B182" t="s">
        <v>17</v>
      </c>
      <c r="C182" t="s">
        <v>33</v>
      </c>
      <c r="D182">
        <v>2025</v>
      </c>
      <c r="E182">
        <v>12</v>
      </c>
      <c r="H182" t="s">
        <v>18</v>
      </c>
      <c r="J182">
        <f t="shared" si="2"/>
        <v>0</v>
      </c>
      <c r="P182">
        <v>2</v>
      </c>
    </row>
    <row r="183" spans="1:17" x14ac:dyDescent="0.2">
      <c r="A183" t="s">
        <v>55</v>
      </c>
      <c r="B183" t="s">
        <v>32</v>
      </c>
      <c r="C183" t="s">
        <v>37</v>
      </c>
      <c r="D183">
        <v>2025</v>
      </c>
      <c r="H183" t="s">
        <v>37</v>
      </c>
      <c r="J183">
        <f t="shared" si="2"/>
        <v>0</v>
      </c>
      <c r="Q183" t="s">
        <v>37</v>
      </c>
    </row>
    <row r="184" spans="1:17" x14ac:dyDescent="0.2">
      <c r="A184" t="s">
        <v>56</v>
      </c>
      <c r="B184" t="s">
        <v>12</v>
      </c>
      <c r="C184" t="s">
        <v>37</v>
      </c>
      <c r="D184">
        <v>2025</v>
      </c>
      <c r="E184">
        <v>1</v>
      </c>
      <c r="F184" t="s">
        <v>19</v>
      </c>
      <c r="G184" t="s">
        <v>20</v>
      </c>
      <c r="H184" t="s">
        <v>20</v>
      </c>
      <c r="I184" t="b">
        <v>1</v>
      </c>
      <c r="J184">
        <f t="shared" si="2"/>
        <v>1</v>
      </c>
      <c r="K184">
        <v>6.2441139221191406</v>
      </c>
      <c r="L184" t="b">
        <v>0</v>
      </c>
    </row>
    <row r="185" spans="1:17" x14ac:dyDescent="0.2">
      <c r="A185" t="s">
        <v>56</v>
      </c>
      <c r="B185" t="s">
        <v>12</v>
      </c>
      <c r="C185" t="s">
        <v>37</v>
      </c>
      <c r="D185">
        <v>2025</v>
      </c>
      <c r="E185">
        <v>2</v>
      </c>
      <c r="F185" t="s">
        <v>21</v>
      </c>
      <c r="G185" t="s">
        <v>22</v>
      </c>
      <c r="H185" t="s">
        <v>22</v>
      </c>
      <c r="I185" t="b">
        <v>1</v>
      </c>
      <c r="J185">
        <f t="shared" si="2"/>
        <v>1</v>
      </c>
      <c r="K185">
        <v>12.36501097679138</v>
      </c>
      <c r="L185" t="b">
        <v>0</v>
      </c>
    </row>
    <row r="186" spans="1:17" x14ac:dyDescent="0.2">
      <c r="A186" t="s">
        <v>56</v>
      </c>
      <c r="B186" t="s">
        <v>17</v>
      </c>
      <c r="C186" t="s">
        <v>37</v>
      </c>
      <c r="D186">
        <v>2025</v>
      </c>
      <c r="E186">
        <v>3</v>
      </c>
      <c r="H186" t="s">
        <v>23</v>
      </c>
      <c r="J186">
        <f t="shared" si="2"/>
        <v>0</v>
      </c>
      <c r="N186">
        <v>5</v>
      </c>
    </row>
    <row r="187" spans="1:17" x14ac:dyDescent="0.2">
      <c r="A187" t="s">
        <v>56</v>
      </c>
      <c r="B187" t="s">
        <v>12</v>
      </c>
      <c r="C187" t="s">
        <v>42</v>
      </c>
      <c r="D187">
        <v>2025</v>
      </c>
      <c r="E187">
        <v>4</v>
      </c>
      <c r="F187" t="s">
        <v>24</v>
      </c>
      <c r="G187" t="s">
        <v>25</v>
      </c>
      <c r="H187" t="s">
        <v>25</v>
      </c>
      <c r="I187" t="b">
        <v>1</v>
      </c>
      <c r="J187">
        <f t="shared" si="2"/>
        <v>1</v>
      </c>
      <c r="K187">
        <v>10.485760927200319</v>
      </c>
      <c r="L187" t="b">
        <v>0</v>
      </c>
    </row>
    <row r="188" spans="1:17" x14ac:dyDescent="0.2">
      <c r="A188" t="s">
        <v>56</v>
      </c>
      <c r="B188" t="s">
        <v>12</v>
      </c>
      <c r="C188" t="s">
        <v>42</v>
      </c>
      <c r="D188">
        <v>2025</v>
      </c>
      <c r="E188">
        <v>5</v>
      </c>
      <c r="F188" t="s">
        <v>26</v>
      </c>
      <c r="G188" t="s">
        <v>27</v>
      </c>
      <c r="I188" t="b">
        <v>0</v>
      </c>
      <c r="J188">
        <f t="shared" si="2"/>
        <v>0</v>
      </c>
      <c r="K188">
        <v>15</v>
      </c>
      <c r="L188" t="b">
        <v>1</v>
      </c>
    </row>
    <row r="189" spans="1:17" x14ac:dyDescent="0.2">
      <c r="A189" t="s">
        <v>56</v>
      </c>
      <c r="B189" t="s">
        <v>17</v>
      </c>
      <c r="C189" t="s">
        <v>42</v>
      </c>
      <c r="D189">
        <v>2025</v>
      </c>
      <c r="E189">
        <v>6</v>
      </c>
      <c r="H189" t="s">
        <v>28</v>
      </c>
      <c r="J189">
        <f t="shared" si="2"/>
        <v>0</v>
      </c>
      <c r="M189">
        <v>3</v>
      </c>
    </row>
    <row r="190" spans="1:17" x14ac:dyDescent="0.2">
      <c r="A190" t="s">
        <v>56</v>
      </c>
      <c r="B190" t="s">
        <v>12</v>
      </c>
      <c r="C190" t="s">
        <v>71</v>
      </c>
      <c r="D190">
        <v>2025</v>
      </c>
      <c r="E190">
        <v>7</v>
      </c>
      <c r="F190" t="s">
        <v>13</v>
      </c>
      <c r="G190" t="s">
        <v>14</v>
      </c>
      <c r="I190" t="b">
        <v>0</v>
      </c>
      <c r="J190">
        <f t="shared" si="2"/>
        <v>0</v>
      </c>
      <c r="K190">
        <v>15</v>
      </c>
      <c r="L190" t="b">
        <v>1</v>
      </c>
    </row>
    <row r="191" spans="1:17" x14ac:dyDescent="0.2">
      <c r="A191" t="s">
        <v>56</v>
      </c>
      <c r="B191" t="s">
        <v>12</v>
      </c>
      <c r="C191" t="s">
        <v>71</v>
      </c>
      <c r="D191">
        <v>2025</v>
      </c>
      <c r="E191">
        <v>8</v>
      </c>
      <c r="F191" t="s">
        <v>15</v>
      </c>
      <c r="G191" t="s">
        <v>16</v>
      </c>
      <c r="I191" t="b">
        <v>0</v>
      </c>
      <c r="J191">
        <f t="shared" si="2"/>
        <v>0</v>
      </c>
      <c r="K191">
        <v>15</v>
      </c>
      <c r="L191" t="b">
        <v>1</v>
      </c>
    </row>
    <row r="192" spans="1:17" x14ac:dyDescent="0.2">
      <c r="A192" t="s">
        <v>56</v>
      </c>
      <c r="B192" t="s">
        <v>17</v>
      </c>
      <c r="C192" t="s">
        <v>71</v>
      </c>
      <c r="D192">
        <v>2025</v>
      </c>
      <c r="E192">
        <v>9</v>
      </c>
      <c r="H192" t="s">
        <v>18</v>
      </c>
      <c r="J192">
        <f t="shared" si="2"/>
        <v>0</v>
      </c>
      <c r="O192">
        <v>2</v>
      </c>
    </row>
    <row r="193" spans="1:17" x14ac:dyDescent="0.2">
      <c r="A193" t="s">
        <v>56</v>
      </c>
      <c r="B193" t="s">
        <v>12</v>
      </c>
      <c r="C193" t="s">
        <v>33</v>
      </c>
      <c r="D193">
        <v>2025</v>
      </c>
      <c r="E193">
        <v>10</v>
      </c>
      <c r="F193" t="s">
        <v>29</v>
      </c>
      <c r="G193" t="s">
        <v>30</v>
      </c>
      <c r="H193" t="s">
        <v>30</v>
      </c>
      <c r="I193" t="b">
        <v>1</v>
      </c>
      <c r="J193">
        <f t="shared" si="2"/>
        <v>1</v>
      </c>
      <c r="K193">
        <v>6.7868931293487549</v>
      </c>
      <c r="L193" t="b">
        <v>0</v>
      </c>
    </row>
    <row r="194" spans="1:17" x14ac:dyDescent="0.2">
      <c r="A194" t="s">
        <v>56</v>
      </c>
      <c r="B194" t="s">
        <v>12</v>
      </c>
      <c r="C194" t="s">
        <v>33</v>
      </c>
      <c r="D194">
        <v>2025</v>
      </c>
      <c r="E194">
        <v>11</v>
      </c>
      <c r="F194" t="s">
        <v>31</v>
      </c>
      <c r="G194" t="s">
        <v>20</v>
      </c>
      <c r="H194" t="s">
        <v>20</v>
      </c>
      <c r="I194" t="b">
        <v>1</v>
      </c>
      <c r="J194">
        <f t="shared" si="2"/>
        <v>1</v>
      </c>
      <c r="K194">
        <v>6.8481159210205078</v>
      </c>
      <c r="L194" t="b">
        <v>0</v>
      </c>
    </row>
    <row r="195" spans="1:17" x14ac:dyDescent="0.2">
      <c r="A195" t="s">
        <v>56</v>
      </c>
      <c r="B195" t="s">
        <v>17</v>
      </c>
      <c r="C195" t="s">
        <v>33</v>
      </c>
      <c r="D195">
        <v>2025</v>
      </c>
      <c r="E195">
        <v>12</v>
      </c>
      <c r="H195" t="s">
        <v>18</v>
      </c>
      <c r="J195">
        <f t="shared" ref="J195:J258" si="3">IF(I195=TRUE, 1, 0)</f>
        <v>0</v>
      </c>
      <c r="P195">
        <v>2</v>
      </c>
    </row>
    <row r="196" spans="1:17" x14ac:dyDescent="0.2">
      <c r="A196" t="s">
        <v>56</v>
      </c>
      <c r="B196" t="s">
        <v>32</v>
      </c>
      <c r="C196" t="s">
        <v>37</v>
      </c>
      <c r="D196">
        <v>2025</v>
      </c>
      <c r="H196" t="s">
        <v>37</v>
      </c>
      <c r="J196">
        <f t="shared" si="3"/>
        <v>0</v>
      </c>
      <c r="Q196" t="s">
        <v>37</v>
      </c>
    </row>
    <row r="197" spans="1:17" x14ac:dyDescent="0.2">
      <c r="A197" t="s">
        <v>57</v>
      </c>
      <c r="B197" t="s">
        <v>12</v>
      </c>
      <c r="C197" t="s">
        <v>37</v>
      </c>
      <c r="D197">
        <v>2025</v>
      </c>
      <c r="E197">
        <v>1</v>
      </c>
      <c r="F197" t="s">
        <v>19</v>
      </c>
      <c r="G197" t="s">
        <v>20</v>
      </c>
      <c r="H197" t="s">
        <v>20</v>
      </c>
      <c r="I197" t="b">
        <v>1</v>
      </c>
      <c r="J197">
        <f t="shared" si="3"/>
        <v>1</v>
      </c>
      <c r="K197">
        <v>4.5079729557037354</v>
      </c>
      <c r="L197" t="b">
        <v>0</v>
      </c>
    </row>
    <row r="198" spans="1:17" x14ac:dyDescent="0.2">
      <c r="A198" t="s">
        <v>57</v>
      </c>
      <c r="B198" t="s">
        <v>12</v>
      </c>
      <c r="C198" t="s">
        <v>37</v>
      </c>
      <c r="D198">
        <v>2025</v>
      </c>
      <c r="E198">
        <v>2</v>
      </c>
      <c r="F198" t="s">
        <v>21</v>
      </c>
      <c r="G198" t="s">
        <v>22</v>
      </c>
      <c r="I198" t="b">
        <v>0</v>
      </c>
      <c r="J198">
        <f t="shared" si="3"/>
        <v>0</v>
      </c>
      <c r="K198">
        <v>15</v>
      </c>
      <c r="L198" t="b">
        <v>1</v>
      </c>
    </row>
    <row r="199" spans="1:17" x14ac:dyDescent="0.2">
      <c r="A199" t="s">
        <v>57</v>
      </c>
      <c r="B199" t="s">
        <v>17</v>
      </c>
      <c r="C199" t="s">
        <v>37</v>
      </c>
      <c r="D199">
        <v>2025</v>
      </c>
      <c r="E199">
        <v>3</v>
      </c>
      <c r="H199" t="s">
        <v>23</v>
      </c>
      <c r="J199">
        <f t="shared" si="3"/>
        <v>0</v>
      </c>
      <c r="N199">
        <v>5</v>
      </c>
    </row>
    <row r="200" spans="1:17" x14ac:dyDescent="0.2">
      <c r="A200" t="s">
        <v>57</v>
      </c>
      <c r="B200" t="s">
        <v>12</v>
      </c>
      <c r="C200" t="s">
        <v>33</v>
      </c>
      <c r="D200">
        <v>2025</v>
      </c>
      <c r="E200">
        <v>4</v>
      </c>
      <c r="F200" t="s">
        <v>29</v>
      </c>
      <c r="G200" t="s">
        <v>30</v>
      </c>
      <c r="H200" t="s">
        <v>30</v>
      </c>
      <c r="I200" t="b">
        <v>1</v>
      </c>
      <c r="J200">
        <f t="shared" si="3"/>
        <v>1</v>
      </c>
      <c r="K200">
        <v>5.969527006149292</v>
      </c>
      <c r="L200" t="b">
        <v>0</v>
      </c>
    </row>
    <row r="201" spans="1:17" x14ac:dyDescent="0.2">
      <c r="A201" t="s">
        <v>57</v>
      </c>
      <c r="B201" t="s">
        <v>12</v>
      </c>
      <c r="C201" t="s">
        <v>33</v>
      </c>
      <c r="D201">
        <v>2025</v>
      </c>
      <c r="E201">
        <v>5</v>
      </c>
      <c r="F201" t="s">
        <v>31</v>
      </c>
      <c r="G201" t="s">
        <v>20</v>
      </c>
      <c r="H201" t="s">
        <v>20</v>
      </c>
      <c r="I201" t="b">
        <v>1</v>
      </c>
      <c r="J201">
        <f t="shared" si="3"/>
        <v>1</v>
      </c>
      <c r="K201">
        <v>5.0587968826293954</v>
      </c>
      <c r="L201" t="b">
        <v>0</v>
      </c>
    </row>
    <row r="202" spans="1:17" x14ac:dyDescent="0.2">
      <c r="A202" t="s">
        <v>57</v>
      </c>
      <c r="B202" t="s">
        <v>17</v>
      </c>
      <c r="C202" t="s">
        <v>33</v>
      </c>
      <c r="D202">
        <v>2025</v>
      </c>
      <c r="E202">
        <v>6</v>
      </c>
      <c r="H202" t="s">
        <v>23</v>
      </c>
      <c r="J202">
        <f t="shared" si="3"/>
        <v>0</v>
      </c>
      <c r="P202">
        <v>5</v>
      </c>
    </row>
    <row r="203" spans="1:17" x14ac:dyDescent="0.2">
      <c r="A203" t="s">
        <v>57</v>
      </c>
      <c r="B203" t="s">
        <v>12</v>
      </c>
      <c r="C203" t="s">
        <v>42</v>
      </c>
      <c r="D203">
        <v>2025</v>
      </c>
      <c r="E203">
        <v>7</v>
      </c>
      <c r="F203" t="s">
        <v>24</v>
      </c>
      <c r="G203" t="s">
        <v>25</v>
      </c>
      <c r="H203" t="s">
        <v>25</v>
      </c>
      <c r="I203" t="b">
        <v>1</v>
      </c>
      <c r="J203">
        <f t="shared" si="3"/>
        <v>1</v>
      </c>
      <c r="K203">
        <v>4.9975509643554688</v>
      </c>
      <c r="L203" t="b">
        <v>0</v>
      </c>
    </row>
    <row r="204" spans="1:17" x14ac:dyDescent="0.2">
      <c r="A204" t="s">
        <v>57</v>
      </c>
      <c r="B204" t="s">
        <v>12</v>
      </c>
      <c r="C204" t="s">
        <v>42</v>
      </c>
      <c r="D204">
        <v>2025</v>
      </c>
      <c r="E204">
        <v>8</v>
      </c>
      <c r="F204" t="s">
        <v>26</v>
      </c>
      <c r="G204" t="s">
        <v>27</v>
      </c>
      <c r="H204" t="s">
        <v>27</v>
      </c>
      <c r="I204" t="b">
        <v>1</v>
      </c>
      <c r="J204">
        <f t="shared" si="3"/>
        <v>1</v>
      </c>
      <c r="K204">
        <v>11.1357319355011</v>
      </c>
      <c r="L204" t="b">
        <v>0</v>
      </c>
    </row>
    <row r="205" spans="1:17" x14ac:dyDescent="0.2">
      <c r="A205" t="s">
        <v>57</v>
      </c>
      <c r="B205" t="s">
        <v>17</v>
      </c>
      <c r="C205" t="s">
        <v>42</v>
      </c>
      <c r="D205">
        <v>2025</v>
      </c>
      <c r="E205">
        <v>9</v>
      </c>
      <c r="H205" t="s">
        <v>35</v>
      </c>
      <c r="J205">
        <f t="shared" si="3"/>
        <v>0</v>
      </c>
      <c r="M205">
        <v>4</v>
      </c>
    </row>
    <row r="206" spans="1:17" x14ac:dyDescent="0.2">
      <c r="A206" t="s">
        <v>57</v>
      </c>
      <c r="B206" t="s">
        <v>12</v>
      </c>
      <c r="C206" t="s">
        <v>71</v>
      </c>
      <c r="D206">
        <v>2025</v>
      </c>
      <c r="E206">
        <v>10</v>
      </c>
      <c r="F206" t="s">
        <v>13</v>
      </c>
      <c r="G206" t="s">
        <v>14</v>
      </c>
      <c r="H206" t="s">
        <v>14</v>
      </c>
      <c r="I206" t="b">
        <v>1</v>
      </c>
      <c r="J206">
        <f t="shared" si="3"/>
        <v>1</v>
      </c>
      <c r="K206">
        <v>4.9537529945373544</v>
      </c>
      <c r="L206" t="b">
        <v>0</v>
      </c>
    </row>
    <row r="207" spans="1:17" x14ac:dyDescent="0.2">
      <c r="A207" t="s">
        <v>57</v>
      </c>
      <c r="B207" t="s">
        <v>12</v>
      </c>
      <c r="C207" t="s">
        <v>71</v>
      </c>
      <c r="D207">
        <v>2025</v>
      </c>
      <c r="E207">
        <v>11</v>
      </c>
      <c r="F207" t="s">
        <v>15</v>
      </c>
      <c r="G207" t="s">
        <v>16</v>
      </c>
      <c r="I207" t="b">
        <v>0</v>
      </c>
      <c r="J207">
        <f t="shared" si="3"/>
        <v>0</v>
      </c>
      <c r="K207">
        <v>15</v>
      </c>
      <c r="L207" t="b">
        <v>1</v>
      </c>
    </row>
    <row r="208" spans="1:17" x14ac:dyDescent="0.2">
      <c r="A208" t="s">
        <v>57</v>
      </c>
      <c r="B208" t="s">
        <v>17</v>
      </c>
      <c r="C208" t="s">
        <v>71</v>
      </c>
      <c r="D208">
        <v>2025</v>
      </c>
      <c r="E208">
        <v>12</v>
      </c>
      <c r="H208" t="s">
        <v>35</v>
      </c>
      <c r="J208">
        <f t="shared" si="3"/>
        <v>0</v>
      </c>
      <c r="O208">
        <v>4</v>
      </c>
    </row>
    <row r="209" spans="1:17" x14ac:dyDescent="0.2">
      <c r="A209" t="s">
        <v>57</v>
      </c>
      <c r="B209" t="s">
        <v>32</v>
      </c>
      <c r="C209" t="s">
        <v>42</v>
      </c>
      <c r="D209">
        <v>2025</v>
      </c>
      <c r="H209" t="s">
        <v>42</v>
      </c>
      <c r="J209">
        <f t="shared" si="3"/>
        <v>0</v>
      </c>
      <c r="Q209" t="s">
        <v>42</v>
      </c>
    </row>
    <row r="210" spans="1:17" x14ac:dyDescent="0.2">
      <c r="A210" t="s">
        <v>58</v>
      </c>
      <c r="B210" t="s">
        <v>12</v>
      </c>
      <c r="C210" t="s">
        <v>37</v>
      </c>
      <c r="D210">
        <v>2025</v>
      </c>
      <c r="E210">
        <v>1</v>
      </c>
      <c r="F210" t="s">
        <v>19</v>
      </c>
      <c r="G210" t="s">
        <v>20</v>
      </c>
      <c r="H210" t="s">
        <v>20</v>
      </c>
      <c r="I210" t="b">
        <v>1</v>
      </c>
      <c r="J210">
        <f t="shared" si="3"/>
        <v>1</v>
      </c>
      <c r="K210">
        <v>7.4243600368499756</v>
      </c>
      <c r="L210" t="b">
        <v>0</v>
      </c>
    </row>
    <row r="211" spans="1:17" x14ac:dyDescent="0.2">
      <c r="A211" t="s">
        <v>58</v>
      </c>
      <c r="B211" t="s">
        <v>12</v>
      </c>
      <c r="C211" t="s">
        <v>37</v>
      </c>
      <c r="D211">
        <v>2025</v>
      </c>
      <c r="E211">
        <v>2</v>
      </c>
      <c r="F211" t="s">
        <v>21</v>
      </c>
      <c r="G211" t="s">
        <v>22</v>
      </c>
      <c r="I211" t="b">
        <v>0</v>
      </c>
      <c r="J211">
        <f t="shared" si="3"/>
        <v>0</v>
      </c>
      <c r="K211">
        <v>15</v>
      </c>
      <c r="L211" t="b">
        <v>1</v>
      </c>
    </row>
    <row r="212" spans="1:17" x14ac:dyDescent="0.2">
      <c r="A212" t="s">
        <v>58</v>
      </c>
      <c r="B212" t="s">
        <v>17</v>
      </c>
      <c r="C212" t="s">
        <v>37</v>
      </c>
      <c r="D212">
        <v>2025</v>
      </c>
      <c r="E212">
        <v>3</v>
      </c>
      <c r="H212" t="s">
        <v>23</v>
      </c>
      <c r="J212">
        <f t="shared" si="3"/>
        <v>0</v>
      </c>
      <c r="N212">
        <v>5</v>
      </c>
    </row>
    <row r="213" spans="1:17" x14ac:dyDescent="0.2">
      <c r="A213" t="s">
        <v>58</v>
      </c>
      <c r="B213" t="s">
        <v>12</v>
      </c>
      <c r="C213" t="s">
        <v>42</v>
      </c>
      <c r="D213">
        <v>2025</v>
      </c>
      <c r="E213">
        <v>4</v>
      </c>
      <c r="F213" t="s">
        <v>24</v>
      </c>
      <c r="G213" t="s">
        <v>25</v>
      </c>
      <c r="H213" t="s">
        <v>25</v>
      </c>
      <c r="I213" t="b">
        <v>1</v>
      </c>
      <c r="J213">
        <f t="shared" si="3"/>
        <v>1</v>
      </c>
      <c r="K213">
        <v>4.9038679599761963</v>
      </c>
      <c r="L213" t="b">
        <v>0</v>
      </c>
    </row>
    <row r="214" spans="1:17" x14ac:dyDescent="0.2">
      <c r="A214" t="s">
        <v>58</v>
      </c>
      <c r="B214" t="s">
        <v>12</v>
      </c>
      <c r="C214" t="s">
        <v>42</v>
      </c>
      <c r="D214">
        <v>2025</v>
      </c>
      <c r="E214">
        <v>5</v>
      </c>
      <c r="F214" t="s">
        <v>26</v>
      </c>
      <c r="G214" t="s">
        <v>27</v>
      </c>
      <c r="H214" t="s">
        <v>59</v>
      </c>
      <c r="I214" t="b">
        <v>0</v>
      </c>
      <c r="J214">
        <f t="shared" si="3"/>
        <v>0</v>
      </c>
      <c r="K214">
        <v>11.23552298545837</v>
      </c>
      <c r="L214" t="b">
        <v>0</v>
      </c>
    </row>
    <row r="215" spans="1:17" x14ac:dyDescent="0.2">
      <c r="A215" t="s">
        <v>58</v>
      </c>
      <c r="B215" t="s">
        <v>17</v>
      </c>
      <c r="C215" t="s">
        <v>42</v>
      </c>
      <c r="D215">
        <v>2025</v>
      </c>
      <c r="E215">
        <v>6</v>
      </c>
      <c r="H215" t="s">
        <v>23</v>
      </c>
      <c r="J215">
        <f t="shared" si="3"/>
        <v>0</v>
      </c>
      <c r="M215">
        <v>5</v>
      </c>
    </row>
    <row r="216" spans="1:17" x14ac:dyDescent="0.2">
      <c r="A216" t="s">
        <v>58</v>
      </c>
      <c r="B216" t="s">
        <v>12</v>
      </c>
      <c r="C216" t="s">
        <v>33</v>
      </c>
      <c r="D216">
        <v>2025</v>
      </c>
      <c r="E216">
        <v>7</v>
      </c>
      <c r="F216" t="s">
        <v>29</v>
      </c>
      <c r="G216" t="s">
        <v>30</v>
      </c>
      <c r="H216" t="s">
        <v>30</v>
      </c>
      <c r="I216" t="b">
        <v>1</v>
      </c>
      <c r="J216">
        <f t="shared" si="3"/>
        <v>1</v>
      </c>
      <c r="K216">
        <v>5.7321629524230957</v>
      </c>
      <c r="L216" t="b">
        <v>0</v>
      </c>
    </row>
    <row r="217" spans="1:17" x14ac:dyDescent="0.2">
      <c r="A217" t="s">
        <v>58</v>
      </c>
      <c r="B217" t="s">
        <v>12</v>
      </c>
      <c r="C217" t="s">
        <v>33</v>
      </c>
      <c r="D217">
        <v>2025</v>
      </c>
      <c r="E217">
        <v>8</v>
      </c>
      <c r="F217" t="s">
        <v>31</v>
      </c>
      <c r="G217" t="s">
        <v>20</v>
      </c>
      <c r="H217" t="s">
        <v>20</v>
      </c>
      <c r="I217" t="b">
        <v>1</v>
      </c>
      <c r="J217">
        <f t="shared" si="3"/>
        <v>1</v>
      </c>
      <c r="K217">
        <v>5.030858039855957</v>
      </c>
      <c r="L217" t="b">
        <v>0</v>
      </c>
    </row>
    <row r="218" spans="1:17" x14ac:dyDescent="0.2">
      <c r="A218" t="s">
        <v>58</v>
      </c>
      <c r="B218" t="s">
        <v>17</v>
      </c>
      <c r="C218" t="s">
        <v>33</v>
      </c>
      <c r="D218">
        <v>2025</v>
      </c>
      <c r="E218">
        <v>9</v>
      </c>
      <c r="H218" t="s">
        <v>23</v>
      </c>
      <c r="J218">
        <f t="shared" si="3"/>
        <v>0</v>
      </c>
      <c r="P218">
        <v>5</v>
      </c>
    </row>
    <row r="219" spans="1:17" x14ac:dyDescent="0.2">
      <c r="A219" t="s">
        <v>58</v>
      </c>
      <c r="B219" t="s">
        <v>12</v>
      </c>
      <c r="C219" t="s">
        <v>71</v>
      </c>
      <c r="D219">
        <v>2025</v>
      </c>
      <c r="E219">
        <v>10</v>
      </c>
      <c r="F219" t="s">
        <v>13</v>
      </c>
      <c r="G219" t="s">
        <v>14</v>
      </c>
      <c r="H219" t="s">
        <v>14</v>
      </c>
      <c r="I219" t="b">
        <v>1</v>
      </c>
      <c r="J219">
        <f t="shared" si="3"/>
        <v>1</v>
      </c>
      <c r="K219">
        <v>4.6179778575897217</v>
      </c>
      <c r="L219" t="b">
        <v>0</v>
      </c>
    </row>
    <row r="220" spans="1:17" x14ac:dyDescent="0.2">
      <c r="A220" t="s">
        <v>58</v>
      </c>
      <c r="B220" t="s">
        <v>12</v>
      </c>
      <c r="C220" t="s">
        <v>71</v>
      </c>
      <c r="D220">
        <v>2025</v>
      </c>
      <c r="E220">
        <v>11</v>
      </c>
      <c r="F220" t="s">
        <v>15</v>
      </c>
      <c r="G220" t="s">
        <v>16</v>
      </c>
      <c r="I220" t="b">
        <v>0</v>
      </c>
      <c r="J220">
        <f t="shared" si="3"/>
        <v>0</v>
      </c>
      <c r="K220">
        <v>15</v>
      </c>
      <c r="L220" t="b">
        <v>1</v>
      </c>
    </row>
    <row r="221" spans="1:17" x14ac:dyDescent="0.2">
      <c r="A221" t="s">
        <v>58</v>
      </c>
      <c r="B221" t="s">
        <v>17</v>
      </c>
      <c r="C221" t="s">
        <v>71</v>
      </c>
      <c r="D221">
        <v>2025</v>
      </c>
      <c r="E221">
        <v>12</v>
      </c>
      <c r="H221" t="s">
        <v>23</v>
      </c>
      <c r="J221">
        <f t="shared" si="3"/>
        <v>0</v>
      </c>
      <c r="O221">
        <v>5</v>
      </c>
    </row>
    <row r="222" spans="1:17" x14ac:dyDescent="0.2">
      <c r="A222" t="s">
        <v>58</v>
      </c>
      <c r="B222" t="s">
        <v>32</v>
      </c>
      <c r="C222" t="s">
        <v>37</v>
      </c>
      <c r="D222">
        <v>2025</v>
      </c>
      <c r="H222" t="s">
        <v>37</v>
      </c>
      <c r="J222">
        <f t="shared" si="3"/>
        <v>0</v>
      </c>
      <c r="Q222" t="s">
        <v>37</v>
      </c>
    </row>
    <row r="223" spans="1:17" x14ac:dyDescent="0.2">
      <c r="A223" t="s">
        <v>60</v>
      </c>
      <c r="B223" t="s">
        <v>12</v>
      </c>
      <c r="C223" t="s">
        <v>71</v>
      </c>
      <c r="D223">
        <v>2025</v>
      </c>
      <c r="E223">
        <v>1</v>
      </c>
      <c r="F223" t="s">
        <v>13</v>
      </c>
      <c r="G223" t="s">
        <v>14</v>
      </c>
      <c r="H223" t="s">
        <v>25</v>
      </c>
      <c r="I223" t="b">
        <v>0</v>
      </c>
      <c r="J223">
        <f t="shared" si="3"/>
        <v>0</v>
      </c>
      <c r="K223">
        <v>6.0163180828094482</v>
      </c>
      <c r="L223" t="b">
        <v>0</v>
      </c>
    </row>
    <row r="224" spans="1:17" x14ac:dyDescent="0.2">
      <c r="A224" t="s">
        <v>60</v>
      </c>
      <c r="B224" t="s">
        <v>12</v>
      </c>
      <c r="C224" t="s">
        <v>71</v>
      </c>
      <c r="D224">
        <v>2025</v>
      </c>
      <c r="E224">
        <v>2</v>
      </c>
      <c r="F224" t="s">
        <v>15</v>
      </c>
      <c r="G224" t="s">
        <v>16</v>
      </c>
      <c r="H224" t="s">
        <v>40</v>
      </c>
      <c r="I224" t="b">
        <v>0</v>
      </c>
      <c r="J224">
        <f t="shared" si="3"/>
        <v>0</v>
      </c>
      <c r="K224">
        <v>12.56263589859009</v>
      </c>
      <c r="L224" t="b">
        <v>0</v>
      </c>
    </row>
    <row r="225" spans="1:17" x14ac:dyDescent="0.2">
      <c r="A225" t="s">
        <v>60</v>
      </c>
      <c r="B225" t="s">
        <v>17</v>
      </c>
      <c r="C225" t="s">
        <v>71</v>
      </c>
      <c r="D225">
        <v>2025</v>
      </c>
      <c r="E225">
        <v>3</v>
      </c>
      <c r="H225" t="s">
        <v>28</v>
      </c>
      <c r="J225">
        <f t="shared" si="3"/>
        <v>0</v>
      </c>
      <c r="O225">
        <v>3</v>
      </c>
    </row>
    <row r="226" spans="1:17" x14ac:dyDescent="0.2">
      <c r="A226" t="s">
        <v>60</v>
      </c>
      <c r="B226" t="s">
        <v>12</v>
      </c>
      <c r="C226" t="s">
        <v>33</v>
      </c>
      <c r="D226">
        <v>2025</v>
      </c>
      <c r="E226">
        <v>4</v>
      </c>
      <c r="F226" t="s">
        <v>29</v>
      </c>
      <c r="G226" t="s">
        <v>30</v>
      </c>
      <c r="I226" t="b">
        <v>0</v>
      </c>
      <c r="J226">
        <f t="shared" si="3"/>
        <v>0</v>
      </c>
      <c r="K226">
        <v>15</v>
      </c>
      <c r="L226" t="b">
        <v>1</v>
      </c>
    </row>
    <row r="227" spans="1:17" x14ac:dyDescent="0.2">
      <c r="A227" t="s">
        <v>60</v>
      </c>
      <c r="B227" t="s">
        <v>12</v>
      </c>
      <c r="C227" t="s">
        <v>33</v>
      </c>
      <c r="D227">
        <v>2025</v>
      </c>
      <c r="E227">
        <v>5</v>
      </c>
      <c r="F227" t="s">
        <v>31</v>
      </c>
      <c r="G227" t="s">
        <v>20</v>
      </c>
      <c r="H227" t="s">
        <v>22</v>
      </c>
      <c r="I227" t="b">
        <v>0</v>
      </c>
      <c r="J227">
        <f t="shared" si="3"/>
        <v>0</v>
      </c>
      <c r="K227">
        <v>9.0227181911468506</v>
      </c>
      <c r="L227" t="b">
        <v>0</v>
      </c>
    </row>
    <row r="228" spans="1:17" x14ac:dyDescent="0.2">
      <c r="A228" t="s">
        <v>60</v>
      </c>
      <c r="B228" t="s">
        <v>17</v>
      </c>
      <c r="C228" t="s">
        <v>33</v>
      </c>
      <c r="D228">
        <v>2025</v>
      </c>
      <c r="E228">
        <v>6</v>
      </c>
      <c r="H228" t="s">
        <v>28</v>
      </c>
      <c r="J228">
        <f t="shared" si="3"/>
        <v>0</v>
      </c>
      <c r="P228">
        <v>3</v>
      </c>
    </row>
    <row r="229" spans="1:17" x14ac:dyDescent="0.2">
      <c r="A229" t="s">
        <v>60</v>
      </c>
      <c r="B229" t="s">
        <v>12</v>
      </c>
      <c r="C229" t="s">
        <v>42</v>
      </c>
      <c r="D229">
        <v>2025</v>
      </c>
      <c r="E229">
        <v>7</v>
      </c>
      <c r="F229" t="s">
        <v>24</v>
      </c>
      <c r="G229" t="s">
        <v>25</v>
      </c>
      <c r="I229" t="b">
        <v>0</v>
      </c>
      <c r="J229">
        <f t="shared" si="3"/>
        <v>0</v>
      </c>
      <c r="K229">
        <v>15</v>
      </c>
      <c r="L229" t="b">
        <v>1</v>
      </c>
    </row>
    <row r="230" spans="1:17" x14ac:dyDescent="0.2">
      <c r="A230" t="s">
        <v>60</v>
      </c>
      <c r="B230" t="s">
        <v>12</v>
      </c>
      <c r="C230" t="s">
        <v>42</v>
      </c>
      <c r="D230">
        <v>2025</v>
      </c>
      <c r="E230">
        <v>8</v>
      </c>
      <c r="F230" t="s">
        <v>26</v>
      </c>
      <c r="G230" t="s">
        <v>27</v>
      </c>
      <c r="H230" t="s">
        <v>45</v>
      </c>
      <c r="I230" t="b">
        <v>0</v>
      </c>
      <c r="J230">
        <f t="shared" si="3"/>
        <v>0</v>
      </c>
      <c r="K230">
        <v>7.8338079452514648</v>
      </c>
      <c r="L230" t="b">
        <v>0</v>
      </c>
    </row>
    <row r="231" spans="1:17" x14ac:dyDescent="0.2">
      <c r="A231" t="s">
        <v>60</v>
      </c>
      <c r="B231" t="s">
        <v>17</v>
      </c>
      <c r="C231" t="s">
        <v>42</v>
      </c>
      <c r="D231">
        <v>2025</v>
      </c>
      <c r="E231">
        <v>9</v>
      </c>
      <c r="H231" t="s">
        <v>28</v>
      </c>
      <c r="J231">
        <f t="shared" si="3"/>
        <v>0</v>
      </c>
      <c r="M231">
        <v>3</v>
      </c>
    </row>
    <row r="232" spans="1:17" x14ac:dyDescent="0.2">
      <c r="A232" t="s">
        <v>60</v>
      </c>
      <c r="B232" t="s">
        <v>12</v>
      </c>
      <c r="C232" t="s">
        <v>37</v>
      </c>
      <c r="D232">
        <v>2025</v>
      </c>
      <c r="E232">
        <v>10</v>
      </c>
      <c r="F232" t="s">
        <v>19</v>
      </c>
      <c r="G232" t="s">
        <v>20</v>
      </c>
      <c r="H232" t="s">
        <v>20</v>
      </c>
      <c r="I232" t="b">
        <v>1</v>
      </c>
      <c r="J232">
        <f t="shared" si="3"/>
        <v>1</v>
      </c>
      <c r="K232">
        <v>7.9163458347320557</v>
      </c>
      <c r="L232" t="b">
        <v>0</v>
      </c>
    </row>
    <row r="233" spans="1:17" x14ac:dyDescent="0.2">
      <c r="A233" t="s">
        <v>60</v>
      </c>
      <c r="B233" t="s">
        <v>12</v>
      </c>
      <c r="C233" t="s">
        <v>37</v>
      </c>
      <c r="D233">
        <v>2025</v>
      </c>
      <c r="E233">
        <v>11</v>
      </c>
      <c r="F233" t="s">
        <v>21</v>
      </c>
      <c r="G233" t="s">
        <v>22</v>
      </c>
      <c r="H233" t="s">
        <v>25</v>
      </c>
      <c r="I233" t="b">
        <v>0</v>
      </c>
      <c r="J233">
        <f t="shared" si="3"/>
        <v>0</v>
      </c>
      <c r="K233">
        <v>11.11382699012756</v>
      </c>
      <c r="L233" t="b">
        <v>0</v>
      </c>
    </row>
    <row r="234" spans="1:17" x14ac:dyDescent="0.2">
      <c r="A234" t="s">
        <v>60</v>
      </c>
      <c r="B234" t="s">
        <v>17</v>
      </c>
      <c r="C234" t="s">
        <v>37</v>
      </c>
      <c r="D234">
        <v>2025</v>
      </c>
      <c r="E234">
        <v>12</v>
      </c>
      <c r="H234" t="s">
        <v>28</v>
      </c>
      <c r="J234">
        <f t="shared" si="3"/>
        <v>0</v>
      </c>
      <c r="N234">
        <v>3</v>
      </c>
    </row>
    <row r="235" spans="1:17" x14ac:dyDescent="0.2">
      <c r="A235" t="s">
        <v>60</v>
      </c>
      <c r="B235" t="s">
        <v>32</v>
      </c>
      <c r="C235" t="s">
        <v>33</v>
      </c>
      <c r="D235">
        <v>2025</v>
      </c>
      <c r="H235" t="s">
        <v>33</v>
      </c>
      <c r="J235">
        <f t="shared" si="3"/>
        <v>0</v>
      </c>
      <c r="Q235" t="s">
        <v>33</v>
      </c>
    </row>
    <row r="236" spans="1:17" x14ac:dyDescent="0.2">
      <c r="A236" t="s">
        <v>61</v>
      </c>
      <c r="B236" t="s">
        <v>12</v>
      </c>
      <c r="C236" t="s">
        <v>71</v>
      </c>
      <c r="D236">
        <v>2025</v>
      </c>
      <c r="E236">
        <v>1</v>
      </c>
      <c r="F236" t="s">
        <v>13</v>
      </c>
      <c r="G236" t="s">
        <v>14</v>
      </c>
      <c r="H236" t="s">
        <v>14</v>
      </c>
      <c r="I236" t="b">
        <v>1</v>
      </c>
      <c r="J236">
        <f t="shared" si="3"/>
        <v>1</v>
      </c>
      <c r="K236">
        <v>12.720000982284549</v>
      </c>
      <c r="L236" t="b">
        <v>0</v>
      </c>
    </row>
    <row r="237" spans="1:17" x14ac:dyDescent="0.2">
      <c r="A237" t="s">
        <v>61</v>
      </c>
      <c r="B237" t="s">
        <v>12</v>
      </c>
      <c r="C237" t="s">
        <v>71</v>
      </c>
      <c r="D237">
        <v>2025</v>
      </c>
      <c r="E237">
        <v>2</v>
      </c>
      <c r="F237" t="s">
        <v>15</v>
      </c>
      <c r="G237" t="s">
        <v>16</v>
      </c>
      <c r="I237" t="b">
        <v>0</v>
      </c>
      <c r="J237">
        <f t="shared" si="3"/>
        <v>0</v>
      </c>
      <c r="K237">
        <v>15</v>
      </c>
      <c r="L237" t="b">
        <v>1</v>
      </c>
    </row>
    <row r="238" spans="1:17" x14ac:dyDescent="0.2">
      <c r="A238" t="s">
        <v>61</v>
      </c>
      <c r="B238" t="s">
        <v>17</v>
      </c>
      <c r="C238" t="s">
        <v>71</v>
      </c>
      <c r="D238">
        <v>2025</v>
      </c>
      <c r="E238">
        <v>3</v>
      </c>
      <c r="H238" t="s">
        <v>62</v>
      </c>
      <c r="J238">
        <f t="shared" si="3"/>
        <v>0</v>
      </c>
      <c r="O238">
        <v>1</v>
      </c>
    </row>
    <row r="239" spans="1:17" x14ac:dyDescent="0.2">
      <c r="A239" t="s">
        <v>61</v>
      </c>
      <c r="B239" t="s">
        <v>12</v>
      </c>
      <c r="C239" t="s">
        <v>42</v>
      </c>
      <c r="D239">
        <v>2025</v>
      </c>
      <c r="E239">
        <v>4</v>
      </c>
      <c r="F239" t="s">
        <v>24</v>
      </c>
      <c r="G239" t="s">
        <v>25</v>
      </c>
      <c r="H239" t="s">
        <v>25</v>
      </c>
      <c r="I239" t="b">
        <v>1</v>
      </c>
      <c r="J239">
        <f t="shared" si="3"/>
        <v>1</v>
      </c>
      <c r="K239">
        <v>9.1168241500854492</v>
      </c>
      <c r="L239" t="b">
        <v>0</v>
      </c>
    </row>
    <row r="240" spans="1:17" x14ac:dyDescent="0.2">
      <c r="A240" t="s">
        <v>61</v>
      </c>
      <c r="B240" t="s">
        <v>12</v>
      </c>
      <c r="C240" t="s">
        <v>42</v>
      </c>
      <c r="D240">
        <v>2025</v>
      </c>
      <c r="E240">
        <v>5</v>
      </c>
      <c r="F240" t="s">
        <v>26</v>
      </c>
      <c r="G240" t="s">
        <v>27</v>
      </c>
      <c r="H240" t="s">
        <v>63</v>
      </c>
      <c r="I240" t="b">
        <v>0</v>
      </c>
      <c r="J240">
        <f t="shared" si="3"/>
        <v>0</v>
      </c>
      <c r="K240">
        <v>13.686969041824341</v>
      </c>
      <c r="L240" t="b">
        <v>0</v>
      </c>
    </row>
    <row r="241" spans="1:17" x14ac:dyDescent="0.2">
      <c r="A241" t="s">
        <v>61</v>
      </c>
      <c r="B241" t="s">
        <v>17</v>
      </c>
      <c r="C241" t="s">
        <v>42</v>
      </c>
      <c r="D241">
        <v>2025</v>
      </c>
      <c r="E241">
        <v>6</v>
      </c>
      <c r="H241" t="s">
        <v>28</v>
      </c>
      <c r="J241">
        <f t="shared" si="3"/>
        <v>0</v>
      </c>
      <c r="M241">
        <v>3</v>
      </c>
    </row>
    <row r="242" spans="1:17" x14ac:dyDescent="0.2">
      <c r="A242" t="s">
        <v>61</v>
      </c>
      <c r="B242" t="s">
        <v>12</v>
      </c>
      <c r="C242" t="s">
        <v>37</v>
      </c>
      <c r="D242">
        <v>2025</v>
      </c>
      <c r="E242">
        <v>7</v>
      </c>
      <c r="F242" t="s">
        <v>19</v>
      </c>
      <c r="G242" t="s">
        <v>20</v>
      </c>
      <c r="H242" t="s">
        <v>20</v>
      </c>
      <c r="I242" t="b">
        <v>1</v>
      </c>
      <c r="J242">
        <f t="shared" si="3"/>
        <v>1</v>
      </c>
      <c r="K242">
        <v>6.6216039657592773</v>
      </c>
      <c r="L242" t="b">
        <v>0</v>
      </c>
    </row>
    <row r="243" spans="1:17" x14ac:dyDescent="0.2">
      <c r="A243" t="s">
        <v>61</v>
      </c>
      <c r="B243" t="s">
        <v>12</v>
      </c>
      <c r="C243" t="s">
        <v>37</v>
      </c>
      <c r="D243">
        <v>2025</v>
      </c>
      <c r="E243">
        <v>8</v>
      </c>
      <c r="F243" t="s">
        <v>21</v>
      </c>
      <c r="G243" t="s">
        <v>22</v>
      </c>
      <c r="H243" t="s">
        <v>22</v>
      </c>
      <c r="I243" t="b">
        <v>1</v>
      </c>
      <c r="J243">
        <f t="shared" si="3"/>
        <v>1</v>
      </c>
      <c r="K243">
        <v>7.2476677894592294</v>
      </c>
      <c r="L243" t="b">
        <v>0</v>
      </c>
    </row>
    <row r="244" spans="1:17" x14ac:dyDescent="0.2">
      <c r="A244" t="s">
        <v>61</v>
      </c>
      <c r="B244" t="s">
        <v>17</v>
      </c>
      <c r="C244" t="s">
        <v>37</v>
      </c>
      <c r="D244">
        <v>2025</v>
      </c>
      <c r="E244">
        <v>9</v>
      </c>
      <c r="H244" t="s">
        <v>23</v>
      </c>
      <c r="J244">
        <f t="shared" si="3"/>
        <v>0</v>
      </c>
      <c r="N244">
        <v>5</v>
      </c>
    </row>
    <row r="245" spans="1:17" x14ac:dyDescent="0.2">
      <c r="A245" t="s">
        <v>61</v>
      </c>
      <c r="B245" t="s">
        <v>12</v>
      </c>
      <c r="C245" t="s">
        <v>33</v>
      </c>
      <c r="D245">
        <v>2025</v>
      </c>
      <c r="E245">
        <v>10</v>
      </c>
      <c r="F245" t="s">
        <v>29</v>
      </c>
      <c r="G245" t="s">
        <v>30</v>
      </c>
      <c r="H245" t="s">
        <v>30</v>
      </c>
      <c r="I245" t="b">
        <v>1</v>
      </c>
      <c r="J245">
        <f t="shared" si="3"/>
        <v>1</v>
      </c>
      <c r="K245">
        <v>6.9425640106201172</v>
      </c>
      <c r="L245" t="b">
        <v>0</v>
      </c>
    </row>
    <row r="246" spans="1:17" x14ac:dyDescent="0.2">
      <c r="A246" t="s">
        <v>61</v>
      </c>
      <c r="B246" t="s">
        <v>12</v>
      </c>
      <c r="C246" t="s">
        <v>33</v>
      </c>
      <c r="D246">
        <v>2025</v>
      </c>
      <c r="E246">
        <v>11</v>
      </c>
      <c r="F246" t="s">
        <v>31</v>
      </c>
      <c r="G246" t="s">
        <v>20</v>
      </c>
      <c r="H246" t="s">
        <v>20</v>
      </c>
      <c r="I246" t="b">
        <v>1</v>
      </c>
      <c r="J246">
        <f t="shared" si="3"/>
        <v>1</v>
      </c>
      <c r="K246">
        <v>6.6421420574188232</v>
      </c>
      <c r="L246" t="b">
        <v>0</v>
      </c>
    </row>
    <row r="247" spans="1:17" x14ac:dyDescent="0.2">
      <c r="A247" t="s">
        <v>61</v>
      </c>
      <c r="B247" t="s">
        <v>17</v>
      </c>
      <c r="C247" t="s">
        <v>33</v>
      </c>
      <c r="D247">
        <v>2025</v>
      </c>
      <c r="E247">
        <v>12</v>
      </c>
      <c r="H247" t="s">
        <v>23</v>
      </c>
      <c r="J247">
        <f t="shared" si="3"/>
        <v>0</v>
      </c>
      <c r="P247">
        <v>5</v>
      </c>
    </row>
    <row r="248" spans="1:17" x14ac:dyDescent="0.2">
      <c r="A248" t="s">
        <v>61</v>
      </c>
      <c r="B248" t="s">
        <v>32</v>
      </c>
      <c r="C248" t="s">
        <v>37</v>
      </c>
      <c r="D248">
        <v>2025</v>
      </c>
      <c r="H248" t="s">
        <v>37</v>
      </c>
      <c r="J248">
        <f t="shared" si="3"/>
        <v>0</v>
      </c>
      <c r="Q248" t="s">
        <v>37</v>
      </c>
    </row>
    <row r="249" spans="1:17" x14ac:dyDescent="0.2">
      <c r="A249" t="s">
        <v>64</v>
      </c>
      <c r="B249" t="s">
        <v>12</v>
      </c>
      <c r="C249" t="s">
        <v>71</v>
      </c>
      <c r="D249">
        <v>2025</v>
      </c>
      <c r="E249">
        <v>1</v>
      </c>
      <c r="F249" t="s">
        <v>13</v>
      </c>
      <c r="G249" t="s">
        <v>14</v>
      </c>
      <c r="I249" t="b">
        <v>0</v>
      </c>
      <c r="J249">
        <f t="shared" si="3"/>
        <v>0</v>
      </c>
      <c r="K249">
        <v>15</v>
      </c>
      <c r="L249" t="b">
        <v>1</v>
      </c>
    </row>
    <row r="250" spans="1:17" x14ac:dyDescent="0.2">
      <c r="A250" t="s">
        <v>64</v>
      </c>
      <c r="B250" t="s">
        <v>12</v>
      </c>
      <c r="C250" t="s">
        <v>71</v>
      </c>
      <c r="D250">
        <v>2025</v>
      </c>
      <c r="E250">
        <v>2</v>
      </c>
      <c r="F250" t="s">
        <v>15</v>
      </c>
      <c r="G250" t="s">
        <v>16</v>
      </c>
      <c r="I250" t="b">
        <v>0</v>
      </c>
      <c r="J250">
        <f t="shared" si="3"/>
        <v>0</v>
      </c>
      <c r="K250">
        <v>15</v>
      </c>
      <c r="L250" t="b">
        <v>1</v>
      </c>
    </row>
    <row r="251" spans="1:17" x14ac:dyDescent="0.2">
      <c r="A251" t="s">
        <v>64</v>
      </c>
      <c r="B251" t="s">
        <v>17</v>
      </c>
      <c r="C251" t="s">
        <v>71</v>
      </c>
      <c r="D251">
        <v>2025</v>
      </c>
      <c r="E251">
        <v>3</v>
      </c>
      <c r="H251" t="s">
        <v>62</v>
      </c>
      <c r="J251">
        <f t="shared" si="3"/>
        <v>0</v>
      </c>
      <c r="O251">
        <v>1</v>
      </c>
    </row>
    <row r="252" spans="1:17" x14ac:dyDescent="0.2">
      <c r="A252" t="s">
        <v>64</v>
      </c>
      <c r="B252" t="s">
        <v>12</v>
      </c>
      <c r="C252" t="s">
        <v>37</v>
      </c>
      <c r="D252">
        <v>2025</v>
      </c>
      <c r="E252">
        <v>4</v>
      </c>
      <c r="F252" t="s">
        <v>19</v>
      </c>
      <c r="G252" t="s">
        <v>20</v>
      </c>
      <c r="H252" t="s">
        <v>20</v>
      </c>
      <c r="I252" t="b">
        <v>1</v>
      </c>
      <c r="J252">
        <f t="shared" si="3"/>
        <v>1</v>
      </c>
      <c r="K252">
        <v>6.2837891578674316</v>
      </c>
      <c r="L252" t="b">
        <v>0</v>
      </c>
    </row>
    <row r="253" spans="1:17" x14ac:dyDescent="0.2">
      <c r="A253" t="s">
        <v>64</v>
      </c>
      <c r="B253" t="s">
        <v>12</v>
      </c>
      <c r="C253" t="s">
        <v>37</v>
      </c>
      <c r="D253">
        <v>2025</v>
      </c>
      <c r="E253">
        <v>5</v>
      </c>
      <c r="F253" t="s">
        <v>21</v>
      </c>
      <c r="G253" t="s">
        <v>22</v>
      </c>
      <c r="H253" t="s">
        <v>22</v>
      </c>
      <c r="I253" t="b">
        <v>1</v>
      </c>
      <c r="J253">
        <f t="shared" si="3"/>
        <v>1</v>
      </c>
      <c r="K253">
        <v>6.4183199405670166</v>
      </c>
      <c r="L253" t="b">
        <v>0</v>
      </c>
    </row>
    <row r="254" spans="1:17" x14ac:dyDescent="0.2">
      <c r="A254" t="s">
        <v>64</v>
      </c>
      <c r="B254" t="s">
        <v>17</v>
      </c>
      <c r="C254" t="s">
        <v>37</v>
      </c>
      <c r="D254">
        <v>2025</v>
      </c>
      <c r="E254">
        <v>6</v>
      </c>
      <c r="H254" t="s">
        <v>35</v>
      </c>
      <c r="J254">
        <f t="shared" si="3"/>
        <v>0</v>
      </c>
      <c r="N254">
        <v>4</v>
      </c>
    </row>
    <row r="255" spans="1:17" x14ac:dyDescent="0.2">
      <c r="A255" t="s">
        <v>64</v>
      </c>
      <c r="B255" t="s">
        <v>12</v>
      </c>
      <c r="C255" t="s">
        <v>42</v>
      </c>
      <c r="D255">
        <v>2025</v>
      </c>
      <c r="E255">
        <v>7</v>
      </c>
      <c r="F255" t="s">
        <v>24</v>
      </c>
      <c r="G255" t="s">
        <v>25</v>
      </c>
      <c r="H255" t="s">
        <v>25</v>
      </c>
      <c r="I255" t="b">
        <v>1</v>
      </c>
      <c r="J255">
        <f t="shared" si="3"/>
        <v>1</v>
      </c>
      <c r="K255">
        <v>6.5392370223999023</v>
      </c>
      <c r="L255" t="b">
        <v>0</v>
      </c>
    </row>
    <row r="256" spans="1:17" x14ac:dyDescent="0.2">
      <c r="A256" t="s">
        <v>64</v>
      </c>
      <c r="B256" t="s">
        <v>12</v>
      </c>
      <c r="C256" t="s">
        <v>42</v>
      </c>
      <c r="D256">
        <v>2025</v>
      </c>
      <c r="E256">
        <v>8</v>
      </c>
      <c r="F256" t="s">
        <v>26</v>
      </c>
      <c r="G256" t="s">
        <v>27</v>
      </c>
      <c r="I256" t="b">
        <v>0</v>
      </c>
      <c r="J256">
        <f t="shared" si="3"/>
        <v>0</v>
      </c>
      <c r="K256">
        <v>15</v>
      </c>
      <c r="L256" t="b">
        <v>1</v>
      </c>
    </row>
    <row r="257" spans="1:17" x14ac:dyDescent="0.2">
      <c r="A257" t="s">
        <v>64</v>
      </c>
      <c r="B257" t="s">
        <v>17</v>
      </c>
      <c r="C257" t="s">
        <v>42</v>
      </c>
      <c r="D257">
        <v>2025</v>
      </c>
      <c r="E257">
        <v>9</v>
      </c>
      <c r="H257" t="s">
        <v>28</v>
      </c>
      <c r="J257">
        <f t="shared" si="3"/>
        <v>0</v>
      </c>
      <c r="M257">
        <v>3</v>
      </c>
    </row>
    <row r="258" spans="1:17" x14ac:dyDescent="0.2">
      <c r="A258" t="s">
        <v>64</v>
      </c>
      <c r="B258" t="s">
        <v>12</v>
      </c>
      <c r="C258" t="s">
        <v>33</v>
      </c>
      <c r="D258">
        <v>2025</v>
      </c>
      <c r="E258">
        <v>10</v>
      </c>
      <c r="F258" t="s">
        <v>29</v>
      </c>
      <c r="G258" t="s">
        <v>30</v>
      </c>
      <c r="H258" t="s">
        <v>30</v>
      </c>
      <c r="I258" t="b">
        <v>1</v>
      </c>
      <c r="J258">
        <f t="shared" si="3"/>
        <v>1</v>
      </c>
      <c r="K258">
        <v>5.1902780532836914</v>
      </c>
      <c r="L258" t="b">
        <v>0</v>
      </c>
    </row>
    <row r="259" spans="1:17" x14ac:dyDescent="0.2">
      <c r="A259" t="s">
        <v>64</v>
      </c>
      <c r="B259" t="s">
        <v>12</v>
      </c>
      <c r="C259" t="s">
        <v>33</v>
      </c>
      <c r="D259">
        <v>2025</v>
      </c>
      <c r="E259">
        <v>11</v>
      </c>
      <c r="F259" t="s">
        <v>31</v>
      </c>
      <c r="G259" t="s">
        <v>20</v>
      </c>
      <c r="H259" t="s">
        <v>20</v>
      </c>
      <c r="I259" t="b">
        <v>1</v>
      </c>
      <c r="J259">
        <f t="shared" ref="J259:J322" si="4">IF(I259=TRUE, 1, 0)</f>
        <v>1</v>
      </c>
      <c r="K259">
        <v>8.6810429096221924</v>
      </c>
      <c r="L259" t="b">
        <v>0</v>
      </c>
    </row>
    <row r="260" spans="1:17" x14ac:dyDescent="0.2">
      <c r="A260" t="s">
        <v>64</v>
      </c>
      <c r="B260" t="s">
        <v>17</v>
      </c>
      <c r="C260" t="s">
        <v>33</v>
      </c>
      <c r="D260">
        <v>2025</v>
      </c>
      <c r="E260">
        <v>12</v>
      </c>
      <c r="H260" t="s">
        <v>35</v>
      </c>
      <c r="J260">
        <f t="shared" si="4"/>
        <v>0</v>
      </c>
      <c r="P260">
        <v>4</v>
      </c>
    </row>
    <row r="261" spans="1:17" x14ac:dyDescent="0.2">
      <c r="A261" t="s">
        <v>64</v>
      </c>
      <c r="B261" t="s">
        <v>32</v>
      </c>
      <c r="C261" t="s">
        <v>37</v>
      </c>
      <c r="D261">
        <v>2025</v>
      </c>
      <c r="H261" t="s">
        <v>37</v>
      </c>
      <c r="J261">
        <f t="shared" si="4"/>
        <v>0</v>
      </c>
      <c r="Q261" t="s">
        <v>37</v>
      </c>
    </row>
    <row r="262" spans="1:17" x14ac:dyDescent="0.2">
      <c r="A262" t="s">
        <v>65</v>
      </c>
      <c r="B262" t="s">
        <v>12</v>
      </c>
      <c r="C262" t="s">
        <v>33</v>
      </c>
      <c r="D262">
        <v>2025</v>
      </c>
      <c r="E262">
        <v>1</v>
      </c>
      <c r="F262" t="s">
        <v>29</v>
      </c>
      <c r="G262" t="s">
        <v>30</v>
      </c>
      <c r="I262" t="b">
        <v>0</v>
      </c>
      <c r="J262">
        <f t="shared" si="4"/>
        <v>0</v>
      </c>
      <c r="K262">
        <v>15</v>
      </c>
      <c r="L262" t="b">
        <v>1</v>
      </c>
    </row>
    <row r="263" spans="1:17" x14ac:dyDescent="0.2">
      <c r="A263" t="s">
        <v>65</v>
      </c>
      <c r="B263" t="s">
        <v>12</v>
      </c>
      <c r="C263" t="s">
        <v>33</v>
      </c>
      <c r="D263">
        <v>2025</v>
      </c>
      <c r="E263">
        <v>2</v>
      </c>
      <c r="F263" t="s">
        <v>31</v>
      </c>
      <c r="G263" t="s">
        <v>20</v>
      </c>
      <c r="H263" t="s">
        <v>25</v>
      </c>
      <c r="I263" t="b">
        <v>0</v>
      </c>
      <c r="J263">
        <f t="shared" si="4"/>
        <v>0</v>
      </c>
      <c r="K263">
        <v>10.531995058059691</v>
      </c>
      <c r="L263" t="b">
        <v>0</v>
      </c>
    </row>
    <row r="264" spans="1:17" x14ac:dyDescent="0.2">
      <c r="A264" t="s">
        <v>65</v>
      </c>
      <c r="B264" t="s">
        <v>17</v>
      </c>
      <c r="C264" t="s">
        <v>33</v>
      </c>
      <c r="D264">
        <v>2025</v>
      </c>
      <c r="E264">
        <v>3</v>
      </c>
      <c r="H264" t="s">
        <v>18</v>
      </c>
      <c r="J264">
        <f t="shared" si="4"/>
        <v>0</v>
      </c>
      <c r="P264">
        <v>2</v>
      </c>
    </row>
    <row r="265" spans="1:17" x14ac:dyDescent="0.2">
      <c r="A265" t="s">
        <v>65</v>
      </c>
      <c r="B265" t="s">
        <v>12</v>
      </c>
      <c r="C265" t="s">
        <v>42</v>
      </c>
      <c r="D265">
        <v>2025</v>
      </c>
      <c r="E265">
        <v>4</v>
      </c>
      <c r="F265" t="s">
        <v>24</v>
      </c>
      <c r="G265" t="s">
        <v>25</v>
      </c>
      <c r="H265" t="s">
        <v>25</v>
      </c>
      <c r="I265" t="b">
        <v>1</v>
      </c>
      <c r="J265">
        <f t="shared" si="4"/>
        <v>1</v>
      </c>
      <c r="K265">
        <v>7.5519289970397949</v>
      </c>
      <c r="L265" t="b">
        <v>0</v>
      </c>
    </row>
    <row r="266" spans="1:17" x14ac:dyDescent="0.2">
      <c r="A266" t="s">
        <v>65</v>
      </c>
      <c r="B266" t="s">
        <v>12</v>
      </c>
      <c r="C266" t="s">
        <v>42</v>
      </c>
      <c r="D266">
        <v>2025</v>
      </c>
      <c r="E266">
        <v>5</v>
      </c>
      <c r="F266" t="s">
        <v>26</v>
      </c>
      <c r="G266" t="s">
        <v>27</v>
      </c>
      <c r="I266" t="b">
        <v>0</v>
      </c>
      <c r="J266">
        <f t="shared" si="4"/>
        <v>0</v>
      </c>
      <c r="K266">
        <v>15</v>
      </c>
      <c r="L266" t="b">
        <v>1</v>
      </c>
    </row>
    <row r="267" spans="1:17" x14ac:dyDescent="0.2">
      <c r="A267" t="s">
        <v>65</v>
      </c>
      <c r="B267" t="s">
        <v>17</v>
      </c>
      <c r="C267" t="s">
        <v>42</v>
      </c>
      <c r="D267">
        <v>2025</v>
      </c>
      <c r="E267">
        <v>6</v>
      </c>
      <c r="H267" t="s">
        <v>28</v>
      </c>
      <c r="J267">
        <f t="shared" si="4"/>
        <v>0</v>
      </c>
      <c r="M267">
        <v>3</v>
      </c>
    </row>
    <row r="268" spans="1:17" x14ac:dyDescent="0.2">
      <c r="A268" t="s">
        <v>65</v>
      </c>
      <c r="B268" t="s">
        <v>12</v>
      </c>
      <c r="C268" t="s">
        <v>71</v>
      </c>
      <c r="D268">
        <v>2025</v>
      </c>
      <c r="E268">
        <v>7</v>
      </c>
      <c r="F268" t="s">
        <v>13</v>
      </c>
      <c r="G268" t="s">
        <v>14</v>
      </c>
      <c r="H268" t="s">
        <v>14</v>
      </c>
      <c r="I268" t="b">
        <v>1</v>
      </c>
      <c r="J268">
        <f t="shared" si="4"/>
        <v>1</v>
      </c>
      <c r="K268">
        <v>4.9859180450439453</v>
      </c>
      <c r="L268" t="b">
        <v>0</v>
      </c>
    </row>
    <row r="269" spans="1:17" x14ac:dyDescent="0.2">
      <c r="A269" t="s">
        <v>65</v>
      </c>
      <c r="B269" t="s">
        <v>12</v>
      </c>
      <c r="C269" t="s">
        <v>71</v>
      </c>
      <c r="D269">
        <v>2025</v>
      </c>
      <c r="E269">
        <v>8</v>
      </c>
      <c r="F269" t="s">
        <v>15</v>
      </c>
      <c r="G269" t="s">
        <v>16</v>
      </c>
      <c r="H269" t="s">
        <v>16</v>
      </c>
      <c r="I269" t="b">
        <v>1</v>
      </c>
      <c r="J269">
        <f t="shared" si="4"/>
        <v>1</v>
      </c>
      <c r="K269">
        <v>12.898201942443849</v>
      </c>
      <c r="L269" t="b">
        <v>0</v>
      </c>
    </row>
    <row r="270" spans="1:17" x14ac:dyDescent="0.2">
      <c r="A270" t="s">
        <v>65</v>
      </c>
      <c r="B270" t="s">
        <v>17</v>
      </c>
      <c r="C270" t="s">
        <v>71</v>
      </c>
      <c r="D270">
        <v>2025</v>
      </c>
      <c r="E270">
        <v>9</v>
      </c>
      <c r="H270" t="s">
        <v>23</v>
      </c>
      <c r="J270">
        <f t="shared" si="4"/>
        <v>0</v>
      </c>
      <c r="O270">
        <v>5</v>
      </c>
    </row>
    <row r="271" spans="1:17" x14ac:dyDescent="0.2">
      <c r="A271" t="s">
        <v>65</v>
      </c>
      <c r="B271" t="s">
        <v>12</v>
      </c>
      <c r="C271" t="s">
        <v>37</v>
      </c>
      <c r="D271">
        <v>2025</v>
      </c>
      <c r="E271">
        <v>10</v>
      </c>
      <c r="F271" t="s">
        <v>19</v>
      </c>
      <c r="G271" t="s">
        <v>20</v>
      </c>
      <c r="H271" t="s">
        <v>20</v>
      </c>
      <c r="I271" t="b">
        <v>1</v>
      </c>
      <c r="J271">
        <f t="shared" si="4"/>
        <v>1</v>
      </c>
      <c r="K271">
        <v>4.1546099185943604</v>
      </c>
      <c r="L271" t="b">
        <v>0</v>
      </c>
    </row>
    <row r="272" spans="1:17" x14ac:dyDescent="0.2">
      <c r="A272" t="s">
        <v>65</v>
      </c>
      <c r="B272" t="s">
        <v>12</v>
      </c>
      <c r="C272" t="s">
        <v>37</v>
      </c>
      <c r="D272">
        <v>2025</v>
      </c>
      <c r="E272">
        <v>11</v>
      </c>
      <c r="F272" t="s">
        <v>21</v>
      </c>
      <c r="G272" t="s">
        <v>22</v>
      </c>
      <c r="H272" t="s">
        <v>22</v>
      </c>
      <c r="I272" t="b">
        <v>1</v>
      </c>
      <c r="J272">
        <f t="shared" si="4"/>
        <v>1</v>
      </c>
      <c r="K272">
        <v>5.4176318645477286</v>
      </c>
      <c r="L272" t="b">
        <v>0</v>
      </c>
    </row>
    <row r="273" spans="1:17" x14ac:dyDescent="0.2">
      <c r="A273" t="s">
        <v>65</v>
      </c>
      <c r="B273" t="s">
        <v>17</v>
      </c>
      <c r="C273" t="s">
        <v>37</v>
      </c>
      <c r="D273">
        <v>2025</v>
      </c>
      <c r="E273">
        <v>12</v>
      </c>
      <c r="H273" t="s">
        <v>23</v>
      </c>
      <c r="J273">
        <f t="shared" si="4"/>
        <v>0</v>
      </c>
      <c r="N273">
        <v>5</v>
      </c>
    </row>
    <row r="274" spans="1:17" x14ac:dyDescent="0.2">
      <c r="A274" t="s">
        <v>65</v>
      </c>
      <c r="B274" t="s">
        <v>32</v>
      </c>
      <c r="C274" t="s">
        <v>37</v>
      </c>
      <c r="D274">
        <v>2025</v>
      </c>
      <c r="H274" t="s">
        <v>37</v>
      </c>
      <c r="J274">
        <f t="shared" si="4"/>
        <v>0</v>
      </c>
      <c r="Q274" t="s">
        <v>37</v>
      </c>
    </row>
    <row r="275" spans="1:17" x14ac:dyDescent="0.2">
      <c r="A275" t="s">
        <v>66</v>
      </c>
      <c r="B275" t="s">
        <v>12</v>
      </c>
      <c r="C275" t="s">
        <v>33</v>
      </c>
      <c r="D275">
        <v>2025</v>
      </c>
      <c r="E275">
        <v>1</v>
      </c>
      <c r="F275" t="s">
        <v>29</v>
      </c>
      <c r="G275" t="s">
        <v>30</v>
      </c>
      <c r="H275" t="s">
        <v>30</v>
      </c>
      <c r="I275" t="b">
        <v>1</v>
      </c>
      <c r="J275">
        <f t="shared" si="4"/>
        <v>1</v>
      </c>
      <c r="K275">
        <v>7.5024428367614746</v>
      </c>
      <c r="L275" t="b">
        <v>0</v>
      </c>
    </row>
    <row r="276" spans="1:17" x14ac:dyDescent="0.2">
      <c r="A276" t="s">
        <v>66</v>
      </c>
      <c r="B276" t="s">
        <v>12</v>
      </c>
      <c r="C276" t="s">
        <v>33</v>
      </c>
      <c r="D276">
        <v>2025</v>
      </c>
      <c r="E276">
        <v>2</v>
      </c>
      <c r="F276" t="s">
        <v>31</v>
      </c>
      <c r="G276" t="s">
        <v>20</v>
      </c>
      <c r="H276" t="s">
        <v>20</v>
      </c>
      <c r="I276" t="b">
        <v>1</v>
      </c>
      <c r="J276">
        <f t="shared" si="4"/>
        <v>1</v>
      </c>
      <c r="K276">
        <v>11.983920097351071</v>
      </c>
      <c r="L276" t="b">
        <v>0</v>
      </c>
    </row>
    <row r="277" spans="1:17" x14ac:dyDescent="0.2">
      <c r="A277" t="s">
        <v>66</v>
      </c>
      <c r="B277" t="s">
        <v>17</v>
      </c>
      <c r="C277" t="s">
        <v>33</v>
      </c>
      <c r="D277">
        <v>2025</v>
      </c>
      <c r="E277">
        <v>3</v>
      </c>
      <c r="H277" t="s">
        <v>35</v>
      </c>
      <c r="J277">
        <f t="shared" si="4"/>
        <v>0</v>
      </c>
      <c r="P277">
        <v>4</v>
      </c>
    </row>
    <row r="278" spans="1:17" x14ac:dyDescent="0.2">
      <c r="A278" t="s">
        <v>66</v>
      </c>
      <c r="B278" t="s">
        <v>12</v>
      </c>
      <c r="C278" t="s">
        <v>42</v>
      </c>
      <c r="D278">
        <v>2025</v>
      </c>
      <c r="E278">
        <v>4</v>
      </c>
      <c r="F278" t="s">
        <v>24</v>
      </c>
      <c r="G278" t="s">
        <v>25</v>
      </c>
      <c r="H278" t="s">
        <v>25</v>
      </c>
      <c r="I278" t="b">
        <v>1</v>
      </c>
      <c r="J278">
        <f t="shared" si="4"/>
        <v>1</v>
      </c>
      <c r="K278">
        <v>6.6698381900787354</v>
      </c>
      <c r="L278" t="b">
        <v>0</v>
      </c>
    </row>
    <row r="279" spans="1:17" x14ac:dyDescent="0.2">
      <c r="A279" t="s">
        <v>66</v>
      </c>
      <c r="B279" t="s">
        <v>12</v>
      </c>
      <c r="C279" t="s">
        <v>42</v>
      </c>
      <c r="D279">
        <v>2025</v>
      </c>
      <c r="E279">
        <v>5</v>
      </c>
      <c r="F279" t="s">
        <v>26</v>
      </c>
      <c r="G279" t="s">
        <v>27</v>
      </c>
      <c r="I279" t="b">
        <v>0</v>
      </c>
      <c r="J279">
        <f t="shared" si="4"/>
        <v>0</v>
      </c>
      <c r="K279">
        <v>15</v>
      </c>
      <c r="L279" t="b">
        <v>1</v>
      </c>
    </row>
    <row r="280" spans="1:17" x14ac:dyDescent="0.2">
      <c r="A280" t="s">
        <v>66</v>
      </c>
      <c r="B280" t="s">
        <v>17</v>
      </c>
      <c r="C280" t="s">
        <v>42</v>
      </c>
      <c r="D280">
        <v>2025</v>
      </c>
      <c r="E280">
        <v>6</v>
      </c>
      <c r="H280" t="s">
        <v>28</v>
      </c>
      <c r="J280">
        <f t="shared" si="4"/>
        <v>0</v>
      </c>
      <c r="M280">
        <v>3</v>
      </c>
    </row>
    <row r="281" spans="1:17" x14ac:dyDescent="0.2">
      <c r="A281" t="s">
        <v>66</v>
      </c>
      <c r="B281" t="s">
        <v>12</v>
      </c>
      <c r="C281" t="s">
        <v>37</v>
      </c>
      <c r="D281">
        <v>2025</v>
      </c>
      <c r="E281">
        <v>7</v>
      </c>
      <c r="F281" t="s">
        <v>19</v>
      </c>
      <c r="G281" t="s">
        <v>20</v>
      </c>
      <c r="H281" t="s">
        <v>20</v>
      </c>
      <c r="I281" t="b">
        <v>1</v>
      </c>
      <c r="J281">
        <f t="shared" si="4"/>
        <v>1</v>
      </c>
      <c r="K281">
        <v>4.9860000610351562</v>
      </c>
      <c r="L281" t="b">
        <v>0</v>
      </c>
    </row>
    <row r="282" spans="1:17" x14ac:dyDescent="0.2">
      <c r="A282" t="s">
        <v>66</v>
      </c>
      <c r="B282" t="s">
        <v>12</v>
      </c>
      <c r="C282" t="s">
        <v>37</v>
      </c>
      <c r="D282">
        <v>2025</v>
      </c>
      <c r="E282">
        <v>8</v>
      </c>
      <c r="F282" t="s">
        <v>21</v>
      </c>
      <c r="G282" t="s">
        <v>22</v>
      </c>
      <c r="H282" t="s">
        <v>25</v>
      </c>
      <c r="I282" t="b">
        <v>0</v>
      </c>
      <c r="J282">
        <f t="shared" si="4"/>
        <v>0</v>
      </c>
      <c r="K282">
        <v>10.72892117500305</v>
      </c>
      <c r="L282" t="b">
        <v>0</v>
      </c>
    </row>
    <row r="283" spans="1:17" x14ac:dyDescent="0.2">
      <c r="A283" t="s">
        <v>66</v>
      </c>
      <c r="B283" t="s">
        <v>17</v>
      </c>
      <c r="C283" t="s">
        <v>37</v>
      </c>
      <c r="D283">
        <v>2025</v>
      </c>
      <c r="E283">
        <v>9</v>
      </c>
      <c r="H283" t="s">
        <v>18</v>
      </c>
      <c r="J283">
        <f t="shared" si="4"/>
        <v>0</v>
      </c>
      <c r="N283">
        <v>2</v>
      </c>
    </row>
    <row r="284" spans="1:17" x14ac:dyDescent="0.2">
      <c r="A284" t="s">
        <v>66</v>
      </c>
      <c r="B284" t="s">
        <v>12</v>
      </c>
      <c r="C284" t="s">
        <v>71</v>
      </c>
      <c r="D284">
        <v>2025</v>
      </c>
      <c r="E284">
        <v>10</v>
      </c>
      <c r="F284" t="s">
        <v>13</v>
      </c>
      <c r="G284" t="s">
        <v>14</v>
      </c>
      <c r="H284" t="s">
        <v>14</v>
      </c>
      <c r="I284" t="b">
        <v>1</v>
      </c>
      <c r="J284">
        <f t="shared" si="4"/>
        <v>1</v>
      </c>
      <c r="K284">
        <v>4.9013948440551758</v>
      </c>
      <c r="L284" t="b">
        <v>0</v>
      </c>
    </row>
    <row r="285" spans="1:17" x14ac:dyDescent="0.2">
      <c r="A285" t="s">
        <v>66</v>
      </c>
      <c r="B285" t="s">
        <v>12</v>
      </c>
      <c r="C285" t="s">
        <v>71</v>
      </c>
      <c r="D285">
        <v>2025</v>
      </c>
      <c r="E285">
        <v>11</v>
      </c>
      <c r="F285" t="s">
        <v>15</v>
      </c>
      <c r="G285" t="s">
        <v>16</v>
      </c>
      <c r="I285" t="b">
        <v>0</v>
      </c>
      <c r="J285">
        <f t="shared" si="4"/>
        <v>0</v>
      </c>
      <c r="K285">
        <v>15</v>
      </c>
      <c r="L285" t="b">
        <v>1</v>
      </c>
    </row>
    <row r="286" spans="1:17" x14ac:dyDescent="0.2">
      <c r="A286" t="s">
        <v>66</v>
      </c>
      <c r="B286" t="s">
        <v>17</v>
      </c>
      <c r="C286" t="s">
        <v>71</v>
      </c>
      <c r="D286">
        <v>2025</v>
      </c>
      <c r="E286">
        <v>12</v>
      </c>
      <c r="H286" t="s">
        <v>18</v>
      </c>
      <c r="J286">
        <f t="shared" si="4"/>
        <v>0</v>
      </c>
      <c r="O286">
        <v>2</v>
      </c>
    </row>
    <row r="287" spans="1:17" x14ac:dyDescent="0.2">
      <c r="A287" t="s">
        <v>66</v>
      </c>
      <c r="B287" t="s">
        <v>32</v>
      </c>
      <c r="C287" t="s">
        <v>37</v>
      </c>
      <c r="D287">
        <v>2025</v>
      </c>
      <c r="H287" t="s">
        <v>37</v>
      </c>
      <c r="J287">
        <f t="shared" si="4"/>
        <v>0</v>
      </c>
      <c r="Q287" t="s">
        <v>37</v>
      </c>
    </row>
    <row r="288" spans="1:17" x14ac:dyDescent="0.2">
      <c r="A288" t="s">
        <v>67</v>
      </c>
      <c r="B288" t="s">
        <v>12</v>
      </c>
      <c r="C288" t="s">
        <v>42</v>
      </c>
      <c r="D288">
        <v>2025</v>
      </c>
      <c r="E288">
        <v>1</v>
      </c>
      <c r="F288" t="s">
        <v>24</v>
      </c>
      <c r="G288" t="s">
        <v>25</v>
      </c>
      <c r="H288" t="s">
        <v>20</v>
      </c>
      <c r="I288" t="b">
        <v>0</v>
      </c>
      <c r="J288">
        <f t="shared" si="4"/>
        <v>0</v>
      </c>
      <c r="K288">
        <v>4.3273868560791016</v>
      </c>
      <c r="L288" t="b">
        <v>0</v>
      </c>
    </row>
    <row r="289" spans="1:17" x14ac:dyDescent="0.2">
      <c r="A289" t="s">
        <v>67</v>
      </c>
      <c r="B289" t="s">
        <v>12</v>
      </c>
      <c r="C289" t="s">
        <v>42</v>
      </c>
      <c r="D289">
        <v>2025</v>
      </c>
      <c r="E289">
        <v>2</v>
      </c>
      <c r="F289" t="s">
        <v>26</v>
      </c>
      <c r="G289" t="s">
        <v>27</v>
      </c>
      <c r="H289" t="s">
        <v>27</v>
      </c>
      <c r="I289" t="b">
        <v>1</v>
      </c>
      <c r="J289">
        <f t="shared" si="4"/>
        <v>1</v>
      </c>
      <c r="K289">
        <v>11.08037209510803</v>
      </c>
      <c r="L289" t="b">
        <v>0</v>
      </c>
    </row>
    <row r="290" spans="1:17" x14ac:dyDescent="0.2">
      <c r="A290" t="s">
        <v>67</v>
      </c>
      <c r="B290" t="s">
        <v>17</v>
      </c>
      <c r="C290" t="s">
        <v>42</v>
      </c>
      <c r="D290">
        <v>2025</v>
      </c>
      <c r="E290">
        <v>3</v>
      </c>
      <c r="H290" t="s">
        <v>35</v>
      </c>
      <c r="J290">
        <f t="shared" si="4"/>
        <v>0</v>
      </c>
      <c r="M290">
        <v>4</v>
      </c>
    </row>
    <row r="291" spans="1:17" x14ac:dyDescent="0.2">
      <c r="A291" t="s">
        <v>67</v>
      </c>
      <c r="B291" t="s">
        <v>12</v>
      </c>
      <c r="C291" t="s">
        <v>71</v>
      </c>
      <c r="D291">
        <v>2025</v>
      </c>
      <c r="E291">
        <v>4</v>
      </c>
      <c r="F291" t="s">
        <v>13</v>
      </c>
      <c r="G291" t="s">
        <v>14</v>
      </c>
      <c r="H291" t="s">
        <v>14</v>
      </c>
      <c r="I291" t="b">
        <v>1</v>
      </c>
      <c r="J291">
        <f t="shared" si="4"/>
        <v>1</v>
      </c>
      <c r="K291">
        <v>6.5711848735809326</v>
      </c>
      <c r="L291" t="b">
        <v>0</v>
      </c>
    </row>
    <row r="292" spans="1:17" x14ac:dyDescent="0.2">
      <c r="A292" t="s">
        <v>67</v>
      </c>
      <c r="B292" t="s">
        <v>12</v>
      </c>
      <c r="C292" t="s">
        <v>71</v>
      </c>
      <c r="D292">
        <v>2025</v>
      </c>
      <c r="E292">
        <v>5</v>
      </c>
      <c r="F292" t="s">
        <v>15</v>
      </c>
      <c r="G292" t="s">
        <v>16</v>
      </c>
      <c r="I292" t="b">
        <v>0</v>
      </c>
      <c r="J292">
        <f t="shared" si="4"/>
        <v>0</v>
      </c>
      <c r="K292">
        <v>15</v>
      </c>
      <c r="L292" t="b">
        <v>1</v>
      </c>
    </row>
    <row r="293" spans="1:17" x14ac:dyDescent="0.2">
      <c r="A293" t="s">
        <v>67</v>
      </c>
      <c r="B293" t="s">
        <v>17</v>
      </c>
      <c r="C293" t="s">
        <v>71</v>
      </c>
      <c r="D293">
        <v>2025</v>
      </c>
      <c r="E293">
        <v>6</v>
      </c>
      <c r="H293" t="s">
        <v>28</v>
      </c>
      <c r="J293">
        <f t="shared" si="4"/>
        <v>0</v>
      </c>
      <c r="O293">
        <v>3</v>
      </c>
    </row>
    <row r="294" spans="1:17" x14ac:dyDescent="0.2">
      <c r="A294" t="s">
        <v>67</v>
      </c>
      <c r="B294" t="s">
        <v>12</v>
      </c>
      <c r="C294" t="s">
        <v>37</v>
      </c>
      <c r="D294">
        <v>2025</v>
      </c>
      <c r="E294">
        <v>7</v>
      </c>
      <c r="F294" t="s">
        <v>19</v>
      </c>
      <c r="G294" t="s">
        <v>20</v>
      </c>
      <c r="H294" t="s">
        <v>20</v>
      </c>
      <c r="I294" t="b">
        <v>1</v>
      </c>
      <c r="J294">
        <f t="shared" si="4"/>
        <v>1</v>
      </c>
      <c r="K294">
        <v>4.6392757892608643</v>
      </c>
      <c r="L294" t="b">
        <v>0</v>
      </c>
    </row>
    <row r="295" spans="1:17" x14ac:dyDescent="0.2">
      <c r="A295" t="s">
        <v>67</v>
      </c>
      <c r="B295" t="s">
        <v>12</v>
      </c>
      <c r="C295" t="s">
        <v>37</v>
      </c>
      <c r="D295">
        <v>2025</v>
      </c>
      <c r="E295">
        <v>8</v>
      </c>
      <c r="F295" t="s">
        <v>21</v>
      </c>
      <c r="G295" t="s">
        <v>22</v>
      </c>
      <c r="H295" t="s">
        <v>22</v>
      </c>
      <c r="I295" t="b">
        <v>1</v>
      </c>
      <c r="J295">
        <f t="shared" si="4"/>
        <v>1</v>
      </c>
      <c r="K295">
        <v>12.62939715385437</v>
      </c>
      <c r="L295" t="b">
        <v>0</v>
      </c>
    </row>
    <row r="296" spans="1:17" x14ac:dyDescent="0.2">
      <c r="A296" t="s">
        <v>67</v>
      </c>
      <c r="B296" t="s">
        <v>17</v>
      </c>
      <c r="C296" t="s">
        <v>37</v>
      </c>
      <c r="D296">
        <v>2025</v>
      </c>
      <c r="E296">
        <v>9</v>
      </c>
      <c r="H296" t="s">
        <v>35</v>
      </c>
      <c r="J296">
        <f t="shared" si="4"/>
        <v>0</v>
      </c>
      <c r="N296">
        <v>4</v>
      </c>
    </row>
    <row r="297" spans="1:17" x14ac:dyDescent="0.2">
      <c r="A297" t="s">
        <v>67</v>
      </c>
      <c r="B297" t="s">
        <v>17</v>
      </c>
      <c r="C297" t="s">
        <v>37</v>
      </c>
      <c r="D297">
        <v>2025</v>
      </c>
      <c r="E297">
        <v>9</v>
      </c>
      <c r="H297" t="s">
        <v>35</v>
      </c>
      <c r="J297">
        <f t="shared" si="4"/>
        <v>0</v>
      </c>
      <c r="N297">
        <v>4</v>
      </c>
    </row>
    <row r="298" spans="1:17" x14ac:dyDescent="0.2">
      <c r="A298" t="s">
        <v>67</v>
      </c>
      <c r="B298" t="s">
        <v>12</v>
      </c>
      <c r="C298" t="s">
        <v>33</v>
      </c>
      <c r="D298">
        <v>2025</v>
      </c>
      <c r="E298">
        <v>11</v>
      </c>
      <c r="F298" t="s">
        <v>31</v>
      </c>
      <c r="G298" t="s">
        <v>20</v>
      </c>
      <c r="H298" t="s">
        <v>30</v>
      </c>
      <c r="I298" t="b">
        <v>0</v>
      </c>
      <c r="J298">
        <f t="shared" si="4"/>
        <v>0</v>
      </c>
      <c r="K298">
        <v>9.8380260467529297</v>
      </c>
      <c r="L298" t="b">
        <v>0</v>
      </c>
    </row>
    <row r="299" spans="1:17" x14ac:dyDescent="0.2">
      <c r="A299" t="s">
        <v>67</v>
      </c>
      <c r="B299" t="s">
        <v>17</v>
      </c>
      <c r="C299" t="s">
        <v>33</v>
      </c>
      <c r="D299">
        <v>2025</v>
      </c>
      <c r="E299">
        <v>12</v>
      </c>
      <c r="H299" t="s">
        <v>28</v>
      </c>
      <c r="J299">
        <f t="shared" si="4"/>
        <v>0</v>
      </c>
      <c r="P299">
        <v>3</v>
      </c>
    </row>
    <row r="300" spans="1:17" x14ac:dyDescent="0.2">
      <c r="A300" t="s">
        <v>67</v>
      </c>
      <c r="B300" t="s">
        <v>32</v>
      </c>
      <c r="C300" t="s">
        <v>37</v>
      </c>
      <c r="D300">
        <v>2025</v>
      </c>
      <c r="H300" t="s">
        <v>37</v>
      </c>
      <c r="J300">
        <f t="shared" si="4"/>
        <v>0</v>
      </c>
      <c r="Q300" t="s">
        <v>37</v>
      </c>
    </row>
    <row r="301" spans="1:17" x14ac:dyDescent="0.2">
      <c r="A301" t="s">
        <v>68</v>
      </c>
      <c r="B301" t="s">
        <v>12</v>
      </c>
      <c r="C301" t="s">
        <v>37</v>
      </c>
      <c r="D301">
        <v>2025</v>
      </c>
      <c r="E301">
        <v>1</v>
      </c>
      <c r="F301" t="s">
        <v>19</v>
      </c>
      <c r="G301" t="s">
        <v>20</v>
      </c>
      <c r="H301" t="s">
        <v>20</v>
      </c>
      <c r="I301" t="b">
        <v>1</v>
      </c>
      <c r="J301">
        <f t="shared" si="4"/>
        <v>1</v>
      </c>
      <c r="K301">
        <v>7.3157610893249512</v>
      </c>
      <c r="L301" t="b">
        <v>0</v>
      </c>
    </row>
    <row r="302" spans="1:17" x14ac:dyDescent="0.2">
      <c r="A302" t="s">
        <v>68</v>
      </c>
      <c r="B302" t="s">
        <v>12</v>
      </c>
      <c r="C302" t="s">
        <v>37</v>
      </c>
      <c r="D302">
        <v>2025</v>
      </c>
      <c r="E302">
        <v>2</v>
      </c>
      <c r="F302" t="s">
        <v>21</v>
      </c>
      <c r="G302" t="s">
        <v>22</v>
      </c>
      <c r="H302" t="s">
        <v>22</v>
      </c>
      <c r="I302" t="b">
        <v>1</v>
      </c>
      <c r="J302">
        <f t="shared" si="4"/>
        <v>1</v>
      </c>
      <c r="K302">
        <v>10.64699292182922</v>
      </c>
      <c r="L302" t="b">
        <v>0</v>
      </c>
    </row>
    <row r="303" spans="1:17" x14ac:dyDescent="0.2">
      <c r="A303" t="s">
        <v>68</v>
      </c>
      <c r="B303" t="s">
        <v>17</v>
      </c>
      <c r="C303" t="s">
        <v>37</v>
      </c>
      <c r="D303">
        <v>2025</v>
      </c>
      <c r="E303">
        <v>3</v>
      </c>
      <c r="H303" t="s">
        <v>35</v>
      </c>
      <c r="J303">
        <f t="shared" si="4"/>
        <v>0</v>
      </c>
      <c r="N303">
        <v>4</v>
      </c>
    </row>
    <row r="304" spans="1:17" x14ac:dyDescent="0.2">
      <c r="A304" t="s">
        <v>68</v>
      </c>
      <c r="B304" t="s">
        <v>12</v>
      </c>
      <c r="C304" t="s">
        <v>42</v>
      </c>
      <c r="D304">
        <v>2025</v>
      </c>
      <c r="E304">
        <v>4</v>
      </c>
      <c r="F304" t="s">
        <v>24</v>
      </c>
      <c r="G304" t="s">
        <v>25</v>
      </c>
      <c r="H304" t="s">
        <v>25</v>
      </c>
      <c r="I304" t="b">
        <v>1</v>
      </c>
      <c r="J304">
        <f t="shared" si="4"/>
        <v>1</v>
      </c>
      <c r="K304">
        <v>8.3865740299224854</v>
      </c>
      <c r="L304" t="b">
        <v>0</v>
      </c>
    </row>
    <row r="305" spans="1:17" x14ac:dyDescent="0.2">
      <c r="A305" t="s">
        <v>68</v>
      </c>
      <c r="B305" t="s">
        <v>12</v>
      </c>
      <c r="C305" t="s">
        <v>42</v>
      </c>
      <c r="D305">
        <v>2025</v>
      </c>
      <c r="E305">
        <v>5</v>
      </c>
      <c r="F305" t="s">
        <v>26</v>
      </c>
      <c r="G305" t="s">
        <v>27</v>
      </c>
      <c r="H305" t="s">
        <v>59</v>
      </c>
      <c r="I305" t="b">
        <v>0</v>
      </c>
      <c r="J305">
        <f t="shared" si="4"/>
        <v>0</v>
      </c>
      <c r="K305">
        <v>14.52257013320923</v>
      </c>
      <c r="L305" t="b">
        <v>0</v>
      </c>
    </row>
    <row r="306" spans="1:17" x14ac:dyDescent="0.2">
      <c r="A306" t="s">
        <v>68</v>
      </c>
      <c r="B306" t="s">
        <v>17</v>
      </c>
      <c r="C306" t="s">
        <v>42</v>
      </c>
      <c r="D306">
        <v>2025</v>
      </c>
      <c r="E306">
        <v>6</v>
      </c>
      <c r="H306" t="s">
        <v>28</v>
      </c>
      <c r="J306">
        <f t="shared" si="4"/>
        <v>0</v>
      </c>
      <c r="M306">
        <v>3</v>
      </c>
    </row>
    <row r="307" spans="1:17" x14ac:dyDescent="0.2">
      <c r="A307" t="s">
        <v>68</v>
      </c>
      <c r="B307" t="s">
        <v>12</v>
      </c>
      <c r="C307" t="s">
        <v>71</v>
      </c>
      <c r="D307">
        <v>2025</v>
      </c>
      <c r="E307">
        <v>7</v>
      </c>
      <c r="F307" t="s">
        <v>13</v>
      </c>
      <c r="G307" t="s">
        <v>14</v>
      </c>
      <c r="H307" t="s">
        <v>14</v>
      </c>
      <c r="I307" t="b">
        <v>1</v>
      </c>
      <c r="J307">
        <f t="shared" si="4"/>
        <v>1</v>
      </c>
      <c r="K307">
        <v>4.3160860538482666</v>
      </c>
      <c r="L307" t="b">
        <v>0</v>
      </c>
    </row>
    <row r="308" spans="1:17" x14ac:dyDescent="0.2">
      <c r="A308" t="s">
        <v>68</v>
      </c>
      <c r="B308" t="s">
        <v>12</v>
      </c>
      <c r="C308" t="s">
        <v>71</v>
      </c>
      <c r="D308">
        <v>2025</v>
      </c>
      <c r="E308">
        <v>8</v>
      </c>
      <c r="F308" t="s">
        <v>15</v>
      </c>
      <c r="G308" t="s">
        <v>16</v>
      </c>
      <c r="H308" t="s">
        <v>69</v>
      </c>
      <c r="I308" t="b">
        <v>0</v>
      </c>
      <c r="J308">
        <f t="shared" si="4"/>
        <v>0</v>
      </c>
      <c r="K308">
        <v>14.22504711151123</v>
      </c>
      <c r="L308" t="b">
        <v>0</v>
      </c>
    </row>
    <row r="309" spans="1:17" x14ac:dyDescent="0.2">
      <c r="A309" t="s">
        <v>68</v>
      </c>
      <c r="B309" t="s">
        <v>17</v>
      </c>
      <c r="C309" t="s">
        <v>71</v>
      </c>
      <c r="D309">
        <v>2025</v>
      </c>
      <c r="E309">
        <v>9</v>
      </c>
      <c r="H309" t="s">
        <v>28</v>
      </c>
      <c r="J309">
        <f t="shared" si="4"/>
        <v>0</v>
      </c>
      <c r="O309">
        <v>3</v>
      </c>
    </row>
    <row r="310" spans="1:17" x14ac:dyDescent="0.2">
      <c r="A310" t="s">
        <v>68</v>
      </c>
      <c r="B310" t="s">
        <v>12</v>
      </c>
      <c r="C310" t="s">
        <v>33</v>
      </c>
      <c r="D310">
        <v>2025</v>
      </c>
      <c r="E310">
        <v>10</v>
      </c>
      <c r="F310" t="s">
        <v>29</v>
      </c>
      <c r="G310" t="s">
        <v>30</v>
      </c>
      <c r="H310" t="s">
        <v>30</v>
      </c>
      <c r="I310" t="b">
        <v>1</v>
      </c>
      <c r="J310">
        <f t="shared" si="4"/>
        <v>1</v>
      </c>
      <c r="K310">
        <v>4.1324529647827148</v>
      </c>
      <c r="L310" t="b">
        <v>0</v>
      </c>
    </row>
    <row r="311" spans="1:17" x14ac:dyDescent="0.2">
      <c r="A311" t="s">
        <v>68</v>
      </c>
      <c r="B311" t="s">
        <v>12</v>
      </c>
      <c r="C311" t="s">
        <v>33</v>
      </c>
      <c r="D311">
        <v>2025</v>
      </c>
      <c r="E311">
        <v>11</v>
      </c>
      <c r="F311" t="s">
        <v>31</v>
      </c>
      <c r="G311" t="s">
        <v>20</v>
      </c>
      <c r="H311" t="s">
        <v>20</v>
      </c>
      <c r="I311" t="b">
        <v>1</v>
      </c>
      <c r="J311">
        <f t="shared" si="4"/>
        <v>1</v>
      </c>
      <c r="K311">
        <v>3.5654408931732182</v>
      </c>
      <c r="L311" t="b">
        <v>0</v>
      </c>
    </row>
    <row r="312" spans="1:17" x14ac:dyDescent="0.2">
      <c r="A312" t="s">
        <v>68</v>
      </c>
      <c r="B312" t="s">
        <v>17</v>
      </c>
      <c r="C312" t="s">
        <v>33</v>
      </c>
      <c r="D312">
        <v>2025</v>
      </c>
      <c r="E312">
        <v>12</v>
      </c>
      <c r="H312" t="s">
        <v>23</v>
      </c>
      <c r="J312">
        <f t="shared" si="4"/>
        <v>0</v>
      </c>
      <c r="P312">
        <v>5</v>
      </c>
    </row>
    <row r="313" spans="1:17" x14ac:dyDescent="0.2">
      <c r="A313" t="s">
        <v>68</v>
      </c>
      <c r="B313" t="s">
        <v>32</v>
      </c>
      <c r="C313" t="s">
        <v>33</v>
      </c>
      <c r="D313">
        <v>2025</v>
      </c>
      <c r="H313" t="s">
        <v>33</v>
      </c>
      <c r="J313">
        <f t="shared" si="4"/>
        <v>0</v>
      </c>
      <c r="Q313" t="s">
        <v>33</v>
      </c>
    </row>
    <row r="314" spans="1:17" x14ac:dyDescent="0.2">
      <c r="A314" t="s">
        <v>70</v>
      </c>
      <c r="B314" t="s">
        <v>12</v>
      </c>
      <c r="C314" t="s">
        <v>37</v>
      </c>
      <c r="D314">
        <v>2025</v>
      </c>
      <c r="E314">
        <v>1</v>
      </c>
      <c r="F314" t="s">
        <v>19</v>
      </c>
      <c r="G314" t="s">
        <v>20</v>
      </c>
      <c r="H314" t="s">
        <v>20</v>
      </c>
      <c r="I314" t="b">
        <v>1</v>
      </c>
      <c r="J314">
        <f t="shared" si="4"/>
        <v>1</v>
      </c>
      <c r="K314">
        <v>7.7006049156188956</v>
      </c>
      <c r="L314" t="b">
        <v>0</v>
      </c>
    </row>
    <row r="315" spans="1:17" x14ac:dyDescent="0.2">
      <c r="A315" t="s">
        <v>70</v>
      </c>
      <c r="B315" t="s">
        <v>12</v>
      </c>
      <c r="C315" t="s">
        <v>37</v>
      </c>
      <c r="D315">
        <v>2025</v>
      </c>
      <c r="E315">
        <v>2</v>
      </c>
      <c r="F315" t="s">
        <v>21</v>
      </c>
      <c r="G315" t="s">
        <v>22</v>
      </c>
      <c r="H315" t="s">
        <v>22</v>
      </c>
      <c r="I315" t="b">
        <v>1</v>
      </c>
      <c r="J315">
        <f t="shared" si="4"/>
        <v>1</v>
      </c>
      <c r="K315">
        <v>8.4467828273773193</v>
      </c>
      <c r="L315" t="b">
        <v>0</v>
      </c>
    </row>
    <row r="316" spans="1:17" x14ac:dyDescent="0.2">
      <c r="A316" t="s">
        <v>70</v>
      </c>
      <c r="B316" t="s">
        <v>17</v>
      </c>
      <c r="C316" t="s">
        <v>37</v>
      </c>
      <c r="D316">
        <v>2025</v>
      </c>
      <c r="E316">
        <v>3</v>
      </c>
      <c r="H316" t="s">
        <v>35</v>
      </c>
      <c r="J316">
        <f t="shared" si="4"/>
        <v>0</v>
      </c>
      <c r="N316">
        <v>4</v>
      </c>
    </row>
    <row r="317" spans="1:17" x14ac:dyDescent="0.2">
      <c r="A317" t="s">
        <v>70</v>
      </c>
      <c r="B317" t="s">
        <v>12</v>
      </c>
      <c r="C317" t="s">
        <v>33</v>
      </c>
      <c r="D317">
        <v>2025</v>
      </c>
      <c r="E317">
        <v>4</v>
      </c>
      <c r="F317" t="s">
        <v>29</v>
      </c>
      <c r="G317" t="s">
        <v>30</v>
      </c>
      <c r="H317" t="s">
        <v>30</v>
      </c>
      <c r="I317" t="b">
        <v>1</v>
      </c>
      <c r="J317">
        <f t="shared" si="4"/>
        <v>1</v>
      </c>
      <c r="K317">
        <v>6.4176011085510254</v>
      </c>
      <c r="L317" t="b">
        <v>0</v>
      </c>
    </row>
    <row r="318" spans="1:17" x14ac:dyDescent="0.2">
      <c r="A318" t="s">
        <v>70</v>
      </c>
      <c r="B318" t="s">
        <v>12</v>
      </c>
      <c r="C318" t="s">
        <v>33</v>
      </c>
      <c r="D318">
        <v>2025</v>
      </c>
      <c r="E318">
        <v>5</v>
      </c>
      <c r="F318" t="s">
        <v>31</v>
      </c>
      <c r="G318" t="s">
        <v>20</v>
      </c>
      <c r="H318" t="s">
        <v>20</v>
      </c>
      <c r="I318" t="b">
        <v>1</v>
      </c>
      <c r="J318">
        <f t="shared" si="4"/>
        <v>1</v>
      </c>
      <c r="K318">
        <v>6.9499871730804443</v>
      </c>
      <c r="L318" t="b">
        <v>0</v>
      </c>
    </row>
    <row r="319" spans="1:17" x14ac:dyDescent="0.2">
      <c r="A319" t="s">
        <v>70</v>
      </c>
      <c r="B319" t="s">
        <v>17</v>
      </c>
      <c r="C319" t="s">
        <v>33</v>
      </c>
      <c r="D319">
        <v>2025</v>
      </c>
      <c r="E319">
        <v>6</v>
      </c>
      <c r="H319" t="s">
        <v>28</v>
      </c>
      <c r="J319">
        <f t="shared" si="4"/>
        <v>0</v>
      </c>
      <c r="P319">
        <v>3</v>
      </c>
    </row>
    <row r="320" spans="1:17" x14ac:dyDescent="0.2">
      <c r="A320" t="s">
        <v>70</v>
      </c>
      <c r="B320" t="s">
        <v>12</v>
      </c>
      <c r="C320" t="s">
        <v>42</v>
      </c>
      <c r="D320">
        <v>2025</v>
      </c>
      <c r="E320">
        <v>7</v>
      </c>
      <c r="F320" t="s">
        <v>24</v>
      </c>
      <c r="G320" t="s">
        <v>25</v>
      </c>
      <c r="H320" t="s">
        <v>25</v>
      </c>
      <c r="I320" t="b">
        <v>1</v>
      </c>
      <c r="J320">
        <f t="shared" si="4"/>
        <v>1</v>
      </c>
      <c r="K320">
        <v>8.4378349781036377</v>
      </c>
      <c r="L320" t="b">
        <v>0</v>
      </c>
    </row>
    <row r="321" spans="1:17" x14ac:dyDescent="0.2">
      <c r="A321" t="s">
        <v>70</v>
      </c>
      <c r="B321" t="s">
        <v>12</v>
      </c>
      <c r="C321" t="s">
        <v>42</v>
      </c>
      <c r="D321">
        <v>2025</v>
      </c>
      <c r="E321">
        <v>8</v>
      </c>
      <c r="F321" t="s">
        <v>26</v>
      </c>
      <c r="G321" t="s">
        <v>27</v>
      </c>
      <c r="I321" t="b">
        <v>0</v>
      </c>
      <c r="J321">
        <f t="shared" si="4"/>
        <v>0</v>
      </c>
      <c r="K321">
        <v>15</v>
      </c>
      <c r="L321" t="b">
        <v>1</v>
      </c>
    </row>
    <row r="322" spans="1:17" x14ac:dyDescent="0.2">
      <c r="A322" t="s">
        <v>70</v>
      </c>
      <c r="B322" t="s">
        <v>17</v>
      </c>
      <c r="C322" t="s">
        <v>42</v>
      </c>
      <c r="D322">
        <v>2025</v>
      </c>
      <c r="E322">
        <v>9</v>
      </c>
      <c r="H322" t="s">
        <v>28</v>
      </c>
      <c r="J322">
        <f t="shared" si="4"/>
        <v>0</v>
      </c>
      <c r="M322">
        <v>3</v>
      </c>
    </row>
    <row r="323" spans="1:17" x14ac:dyDescent="0.2">
      <c r="A323" t="s">
        <v>70</v>
      </c>
      <c r="B323" t="s">
        <v>12</v>
      </c>
      <c r="C323" t="s">
        <v>71</v>
      </c>
      <c r="D323">
        <v>2025</v>
      </c>
      <c r="E323">
        <v>10</v>
      </c>
      <c r="F323" t="s">
        <v>13</v>
      </c>
      <c r="G323" t="s">
        <v>14</v>
      </c>
      <c r="H323" t="s">
        <v>14</v>
      </c>
      <c r="I323" t="b">
        <v>1</v>
      </c>
      <c r="J323">
        <f t="shared" ref="J323:J386" si="5">IF(I323=TRUE, 1, 0)</f>
        <v>1</v>
      </c>
      <c r="K323">
        <v>4.2016880512237549</v>
      </c>
      <c r="L323" t="b">
        <v>0</v>
      </c>
    </row>
    <row r="324" spans="1:17" x14ac:dyDescent="0.2">
      <c r="A324" t="s">
        <v>70</v>
      </c>
      <c r="B324" t="s">
        <v>12</v>
      </c>
      <c r="C324" t="s">
        <v>71</v>
      </c>
      <c r="D324">
        <v>2025</v>
      </c>
      <c r="E324">
        <v>11</v>
      </c>
      <c r="F324" t="s">
        <v>15</v>
      </c>
      <c r="G324" t="s">
        <v>16</v>
      </c>
      <c r="H324" t="s">
        <v>69</v>
      </c>
      <c r="I324" t="b">
        <v>0</v>
      </c>
      <c r="J324">
        <f t="shared" si="5"/>
        <v>0</v>
      </c>
      <c r="K324">
        <v>13.07082200050354</v>
      </c>
      <c r="L324" t="b">
        <v>0</v>
      </c>
    </row>
    <row r="325" spans="1:17" x14ac:dyDescent="0.2">
      <c r="A325" t="s">
        <v>70</v>
      </c>
      <c r="B325" t="s">
        <v>17</v>
      </c>
      <c r="C325" t="s">
        <v>71</v>
      </c>
      <c r="D325">
        <v>2025</v>
      </c>
      <c r="E325">
        <v>12</v>
      </c>
      <c r="H325" t="s">
        <v>18</v>
      </c>
      <c r="J325">
        <f t="shared" si="5"/>
        <v>0</v>
      </c>
      <c r="O325">
        <v>2</v>
      </c>
    </row>
    <row r="326" spans="1:17" x14ac:dyDescent="0.2">
      <c r="A326" t="s">
        <v>70</v>
      </c>
      <c r="B326" t="s">
        <v>32</v>
      </c>
      <c r="C326" t="s">
        <v>71</v>
      </c>
      <c r="D326">
        <v>2025</v>
      </c>
      <c r="H326" t="s">
        <v>33</v>
      </c>
      <c r="J326">
        <f t="shared" si="5"/>
        <v>0</v>
      </c>
      <c r="Q326" t="s">
        <v>33</v>
      </c>
    </row>
    <row r="327" spans="1:17" x14ac:dyDescent="0.2">
      <c r="A327" t="s">
        <v>72</v>
      </c>
      <c r="B327" t="s">
        <v>12</v>
      </c>
      <c r="C327" t="s">
        <v>37</v>
      </c>
      <c r="D327">
        <v>2025</v>
      </c>
      <c r="E327">
        <v>1</v>
      </c>
      <c r="F327" t="s">
        <v>19</v>
      </c>
      <c r="G327" t="s">
        <v>20</v>
      </c>
      <c r="H327" t="s">
        <v>20</v>
      </c>
      <c r="I327" t="b">
        <v>1</v>
      </c>
      <c r="J327">
        <f t="shared" si="5"/>
        <v>1</v>
      </c>
      <c r="K327">
        <v>4.9830999374389648</v>
      </c>
      <c r="L327" t="b">
        <v>0</v>
      </c>
    </row>
    <row r="328" spans="1:17" x14ac:dyDescent="0.2">
      <c r="A328" t="s">
        <v>72</v>
      </c>
      <c r="B328" t="s">
        <v>12</v>
      </c>
      <c r="C328" t="s">
        <v>37</v>
      </c>
      <c r="D328">
        <v>2025</v>
      </c>
      <c r="E328">
        <v>2</v>
      </c>
      <c r="F328" t="s">
        <v>21</v>
      </c>
      <c r="G328" t="s">
        <v>22</v>
      </c>
      <c r="H328" t="s">
        <v>22</v>
      </c>
      <c r="I328" t="b">
        <v>1</v>
      </c>
      <c r="J328">
        <f t="shared" si="5"/>
        <v>1</v>
      </c>
      <c r="K328">
        <v>5.5972559452056876</v>
      </c>
      <c r="L328" t="b">
        <v>0</v>
      </c>
    </row>
    <row r="329" spans="1:17" x14ac:dyDescent="0.2">
      <c r="A329" t="s">
        <v>72</v>
      </c>
      <c r="B329" t="s">
        <v>17</v>
      </c>
      <c r="C329" t="s">
        <v>37</v>
      </c>
      <c r="D329">
        <v>2025</v>
      </c>
      <c r="E329">
        <v>3</v>
      </c>
      <c r="H329" t="s">
        <v>23</v>
      </c>
      <c r="J329">
        <f t="shared" si="5"/>
        <v>0</v>
      </c>
      <c r="N329">
        <v>5</v>
      </c>
    </row>
    <row r="330" spans="1:17" x14ac:dyDescent="0.2">
      <c r="A330" t="s">
        <v>72</v>
      </c>
      <c r="B330" t="s">
        <v>12</v>
      </c>
      <c r="C330" t="s">
        <v>42</v>
      </c>
      <c r="D330">
        <v>2025</v>
      </c>
      <c r="E330">
        <v>4</v>
      </c>
      <c r="F330" t="s">
        <v>24</v>
      </c>
      <c r="G330" t="s">
        <v>25</v>
      </c>
      <c r="H330" t="s">
        <v>25</v>
      </c>
      <c r="I330" t="b">
        <v>1</v>
      </c>
      <c r="J330">
        <f t="shared" si="5"/>
        <v>1</v>
      </c>
      <c r="K330">
        <v>6.580470085144043</v>
      </c>
      <c r="L330" t="b">
        <v>0</v>
      </c>
    </row>
    <row r="331" spans="1:17" x14ac:dyDescent="0.2">
      <c r="A331" t="s">
        <v>72</v>
      </c>
      <c r="B331" t="s">
        <v>12</v>
      </c>
      <c r="C331" t="s">
        <v>42</v>
      </c>
      <c r="D331">
        <v>2025</v>
      </c>
      <c r="E331">
        <v>5</v>
      </c>
      <c r="F331" t="s">
        <v>26</v>
      </c>
      <c r="G331" t="s">
        <v>27</v>
      </c>
      <c r="I331" t="b">
        <v>0</v>
      </c>
      <c r="J331">
        <f t="shared" si="5"/>
        <v>0</v>
      </c>
      <c r="K331">
        <v>15</v>
      </c>
      <c r="L331" t="b">
        <v>1</v>
      </c>
    </row>
    <row r="332" spans="1:17" x14ac:dyDescent="0.2">
      <c r="A332" t="s">
        <v>72</v>
      </c>
      <c r="B332" t="s">
        <v>17</v>
      </c>
      <c r="C332" t="s">
        <v>42</v>
      </c>
      <c r="D332">
        <v>2025</v>
      </c>
      <c r="E332">
        <v>6</v>
      </c>
      <c r="H332" t="s">
        <v>62</v>
      </c>
      <c r="J332">
        <f t="shared" si="5"/>
        <v>0</v>
      </c>
      <c r="M332">
        <v>1</v>
      </c>
    </row>
    <row r="333" spans="1:17" x14ac:dyDescent="0.2">
      <c r="A333" t="s">
        <v>72</v>
      </c>
      <c r="B333" t="s">
        <v>12</v>
      </c>
      <c r="C333" t="s">
        <v>33</v>
      </c>
      <c r="D333">
        <v>2025</v>
      </c>
      <c r="E333">
        <v>7</v>
      </c>
      <c r="F333" t="s">
        <v>29</v>
      </c>
      <c r="G333" t="s">
        <v>30</v>
      </c>
      <c r="H333" t="s">
        <v>30</v>
      </c>
      <c r="I333" t="b">
        <v>1</v>
      </c>
      <c r="J333">
        <f t="shared" si="5"/>
        <v>1</v>
      </c>
      <c r="K333">
        <v>7.9344189167022714</v>
      </c>
      <c r="L333" t="b">
        <v>0</v>
      </c>
    </row>
    <row r="334" spans="1:17" x14ac:dyDescent="0.2">
      <c r="A334" t="s">
        <v>72</v>
      </c>
      <c r="B334" t="s">
        <v>12</v>
      </c>
      <c r="C334" t="s">
        <v>33</v>
      </c>
      <c r="D334">
        <v>2025</v>
      </c>
      <c r="E334">
        <v>8</v>
      </c>
      <c r="F334" t="s">
        <v>31</v>
      </c>
      <c r="G334" t="s">
        <v>20</v>
      </c>
      <c r="H334" t="s">
        <v>20</v>
      </c>
      <c r="I334" t="b">
        <v>1</v>
      </c>
      <c r="J334">
        <f t="shared" si="5"/>
        <v>1</v>
      </c>
      <c r="K334">
        <v>6.1858999729156494</v>
      </c>
      <c r="L334" t="b">
        <v>0</v>
      </c>
    </row>
    <row r="335" spans="1:17" x14ac:dyDescent="0.2">
      <c r="A335" t="s">
        <v>72</v>
      </c>
      <c r="B335" t="s">
        <v>17</v>
      </c>
      <c r="C335" t="s">
        <v>33</v>
      </c>
      <c r="D335">
        <v>2025</v>
      </c>
      <c r="E335">
        <v>9</v>
      </c>
      <c r="H335" t="s">
        <v>35</v>
      </c>
      <c r="J335">
        <f t="shared" si="5"/>
        <v>0</v>
      </c>
      <c r="P335">
        <v>4</v>
      </c>
    </row>
    <row r="336" spans="1:17" x14ac:dyDescent="0.2">
      <c r="A336" t="s">
        <v>72</v>
      </c>
      <c r="B336" t="s">
        <v>12</v>
      </c>
      <c r="C336" t="s">
        <v>71</v>
      </c>
      <c r="D336">
        <v>2025</v>
      </c>
      <c r="E336">
        <v>10</v>
      </c>
      <c r="F336" t="s">
        <v>13</v>
      </c>
      <c r="G336" t="s">
        <v>14</v>
      </c>
      <c r="H336" t="s">
        <v>14</v>
      </c>
      <c r="I336" t="b">
        <v>1</v>
      </c>
      <c r="J336">
        <f t="shared" si="5"/>
        <v>1</v>
      </c>
      <c r="K336">
        <v>3.402587890625</v>
      </c>
      <c r="L336" t="b">
        <v>0</v>
      </c>
    </row>
    <row r="337" spans="1:17" x14ac:dyDescent="0.2">
      <c r="A337" t="s">
        <v>72</v>
      </c>
      <c r="B337" t="s">
        <v>12</v>
      </c>
      <c r="C337" t="s">
        <v>71</v>
      </c>
      <c r="D337">
        <v>2025</v>
      </c>
      <c r="E337">
        <v>11</v>
      </c>
      <c r="F337" t="s">
        <v>15</v>
      </c>
      <c r="G337" t="s">
        <v>16</v>
      </c>
      <c r="I337" t="b">
        <v>0</v>
      </c>
      <c r="J337">
        <f t="shared" si="5"/>
        <v>0</v>
      </c>
      <c r="K337">
        <v>15</v>
      </c>
      <c r="L337" t="b">
        <v>1</v>
      </c>
    </row>
    <row r="338" spans="1:17" x14ac:dyDescent="0.2">
      <c r="A338" t="s">
        <v>72</v>
      </c>
      <c r="B338" t="s">
        <v>17</v>
      </c>
      <c r="C338" t="s">
        <v>71</v>
      </c>
      <c r="D338">
        <v>2025</v>
      </c>
      <c r="E338">
        <v>12</v>
      </c>
      <c r="H338" t="s">
        <v>28</v>
      </c>
      <c r="J338">
        <f t="shared" si="5"/>
        <v>0</v>
      </c>
      <c r="O338">
        <v>3</v>
      </c>
    </row>
    <row r="339" spans="1:17" x14ac:dyDescent="0.2">
      <c r="A339" t="s">
        <v>72</v>
      </c>
      <c r="B339" t="s">
        <v>32</v>
      </c>
      <c r="C339" t="s">
        <v>37</v>
      </c>
      <c r="D339">
        <v>2025</v>
      </c>
      <c r="H339" t="s">
        <v>37</v>
      </c>
      <c r="J339">
        <f t="shared" si="5"/>
        <v>0</v>
      </c>
      <c r="Q339" t="s">
        <v>37</v>
      </c>
    </row>
    <row r="340" spans="1:17" x14ac:dyDescent="0.2">
      <c r="A340" t="s">
        <v>73</v>
      </c>
      <c r="B340" t="s">
        <v>12</v>
      </c>
      <c r="C340" t="s">
        <v>71</v>
      </c>
      <c r="D340">
        <v>2025</v>
      </c>
      <c r="E340">
        <v>1</v>
      </c>
      <c r="F340" t="s">
        <v>13</v>
      </c>
      <c r="G340" t="s">
        <v>14</v>
      </c>
      <c r="I340" t="b">
        <v>0</v>
      </c>
      <c r="J340">
        <f t="shared" si="5"/>
        <v>0</v>
      </c>
      <c r="K340">
        <v>15</v>
      </c>
      <c r="L340" t="b">
        <v>1</v>
      </c>
    </row>
    <row r="341" spans="1:17" x14ac:dyDescent="0.2">
      <c r="A341" t="s">
        <v>73</v>
      </c>
      <c r="B341" t="s">
        <v>12</v>
      </c>
      <c r="C341" t="s">
        <v>71</v>
      </c>
      <c r="D341">
        <v>2025</v>
      </c>
      <c r="E341">
        <v>2</v>
      </c>
      <c r="F341" t="s">
        <v>15</v>
      </c>
      <c r="G341" t="s">
        <v>16</v>
      </c>
      <c r="H341" t="s">
        <v>40</v>
      </c>
      <c r="I341" t="b">
        <v>0</v>
      </c>
      <c r="J341">
        <f t="shared" si="5"/>
        <v>0</v>
      </c>
      <c r="K341">
        <v>13.11967706680298</v>
      </c>
      <c r="L341" t="b">
        <v>0</v>
      </c>
    </row>
    <row r="342" spans="1:17" x14ac:dyDescent="0.2">
      <c r="A342" t="s">
        <v>73</v>
      </c>
      <c r="B342" t="s">
        <v>17</v>
      </c>
      <c r="C342" t="s">
        <v>71</v>
      </c>
      <c r="D342">
        <v>2025</v>
      </c>
      <c r="E342">
        <v>3</v>
      </c>
      <c r="H342" t="s">
        <v>35</v>
      </c>
      <c r="J342">
        <f t="shared" si="5"/>
        <v>0</v>
      </c>
      <c r="O342">
        <v>4</v>
      </c>
    </row>
    <row r="343" spans="1:17" x14ac:dyDescent="0.2">
      <c r="A343" t="s">
        <v>73</v>
      </c>
      <c r="B343" t="s">
        <v>12</v>
      </c>
      <c r="C343" t="s">
        <v>33</v>
      </c>
      <c r="D343">
        <v>2025</v>
      </c>
      <c r="E343">
        <v>4</v>
      </c>
      <c r="F343" t="s">
        <v>29</v>
      </c>
      <c r="G343" t="s">
        <v>30</v>
      </c>
      <c r="H343" t="s">
        <v>30</v>
      </c>
      <c r="I343" t="b">
        <v>1</v>
      </c>
      <c r="J343">
        <f t="shared" si="5"/>
        <v>1</v>
      </c>
      <c r="K343">
        <v>7.1893420219421387</v>
      </c>
      <c r="L343" t="b">
        <v>0</v>
      </c>
    </row>
    <row r="344" spans="1:17" x14ac:dyDescent="0.2">
      <c r="A344" t="s">
        <v>73</v>
      </c>
      <c r="B344" t="s">
        <v>12</v>
      </c>
      <c r="C344" t="s">
        <v>33</v>
      </c>
      <c r="D344">
        <v>2025</v>
      </c>
      <c r="E344">
        <v>5</v>
      </c>
      <c r="F344" t="s">
        <v>31</v>
      </c>
      <c r="G344" t="s">
        <v>20</v>
      </c>
      <c r="H344" t="s">
        <v>30</v>
      </c>
      <c r="I344" t="b">
        <v>0</v>
      </c>
      <c r="J344">
        <f t="shared" si="5"/>
        <v>0</v>
      </c>
      <c r="K344">
        <v>9.499539852142334</v>
      </c>
      <c r="L344" t="b">
        <v>0</v>
      </c>
    </row>
    <row r="345" spans="1:17" x14ac:dyDescent="0.2">
      <c r="A345" t="s">
        <v>73</v>
      </c>
      <c r="B345" t="s">
        <v>17</v>
      </c>
      <c r="C345" t="s">
        <v>33</v>
      </c>
      <c r="D345">
        <v>2025</v>
      </c>
      <c r="E345">
        <v>6</v>
      </c>
      <c r="H345" t="s">
        <v>23</v>
      </c>
      <c r="J345">
        <f t="shared" si="5"/>
        <v>0</v>
      </c>
      <c r="P345">
        <v>5</v>
      </c>
    </row>
    <row r="346" spans="1:17" x14ac:dyDescent="0.2">
      <c r="A346" t="s">
        <v>73</v>
      </c>
      <c r="B346" t="s">
        <v>12</v>
      </c>
      <c r="C346" t="s">
        <v>42</v>
      </c>
      <c r="D346">
        <v>2025</v>
      </c>
      <c r="E346">
        <v>7</v>
      </c>
      <c r="F346" t="s">
        <v>24</v>
      </c>
      <c r="G346" t="s">
        <v>25</v>
      </c>
      <c r="H346" t="s">
        <v>25</v>
      </c>
      <c r="I346" t="b">
        <v>1</v>
      </c>
      <c r="J346">
        <f t="shared" si="5"/>
        <v>1</v>
      </c>
      <c r="K346">
        <v>6.8436641693115234</v>
      </c>
      <c r="L346" t="b">
        <v>0</v>
      </c>
    </row>
    <row r="347" spans="1:17" x14ac:dyDescent="0.2">
      <c r="A347" t="s">
        <v>73</v>
      </c>
      <c r="B347" t="s">
        <v>12</v>
      </c>
      <c r="C347" t="s">
        <v>42</v>
      </c>
      <c r="D347">
        <v>2025</v>
      </c>
      <c r="E347">
        <v>8</v>
      </c>
      <c r="F347" t="s">
        <v>26</v>
      </c>
      <c r="G347" t="s">
        <v>27</v>
      </c>
      <c r="H347" t="s">
        <v>74</v>
      </c>
      <c r="I347" t="b">
        <v>0</v>
      </c>
      <c r="J347">
        <f t="shared" si="5"/>
        <v>0</v>
      </c>
      <c r="K347">
        <v>10.197268009185789</v>
      </c>
      <c r="L347" t="b">
        <v>0</v>
      </c>
    </row>
    <row r="348" spans="1:17" x14ac:dyDescent="0.2">
      <c r="A348" t="s">
        <v>73</v>
      </c>
      <c r="B348" t="s">
        <v>17</v>
      </c>
      <c r="C348" t="s">
        <v>42</v>
      </c>
      <c r="D348">
        <v>2025</v>
      </c>
      <c r="E348">
        <v>9</v>
      </c>
      <c r="H348" t="s">
        <v>35</v>
      </c>
      <c r="J348">
        <f t="shared" si="5"/>
        <v>0</v>
      </c>
      <c r="M348">
        <v>4</v>
      </c>
    </row>
    <row r="349" spans="1:17" x14ac:dyDescent="0.2">
      <c r="A349" t="s">
        <v>73</v>
      </c>
      <c r="B349" t="s">
        <v>12</v>
      </c>
      <c r="C349" t="s">
        <v>37</v>
      </c>
      <c r="D349">
        <v>2025</v>
      </c>
      <c r="E349">
        <v>10</v>
      </c>
      <c r="F349" t="s">
        <v>19</v>
      </c>
      <c r="G349" t="s">
        <v>20</v>
      </c>
      <c r="H349" t="s">
        <v>20</v>
      </c>
      <c r="I349" t="b">
        <v>1</v>
      </c>
      <c r="J349">
        <f t="shared" si="5"/>
        <v>1</v>
      </c>
      <c r="K349">
        <v>6.6164510250091553</v>
      </c>
      <c r="L349" t="b">
        <v>0</v>
      </c>
    </row>
    <row r="350" spans="1:17" x14ac:dyDescent="0.2">
      <c r="A350" t="s">
        <v>73</v>
      </c>
      <c r="B350" t="s">
        <v>12</v>
      </c>
      <c r="C350" t="s">
        <v>37</v>
      </c>
      <c r="D350">
        <v>2025</v>
      </c>
      <c r="E350">
        <v>11</v>
      </c>
      <c r="F350" t="s">
        <v>21</v>
      </c>
      <c r="G350" t="s">
        <v>22</v>
      </c>
      <c r="H350" t="s">
        <v>20</v>
      </c>
      <c r="I350" t="b">
        <v>0</v>
      </c>
      <c r="J350">
        <f t="shared" si="5"/>
        <v>0</v>
      </c>
      <c r="K350">
        <v>7.5420069694519043</v>
      </c>
      <c r="L350" t="b">
        <v>0</v>
      </c>
    </row>
    <row r="351" spans="1:17" x14ac:dyDescent="0.2">
      <c r="A351" t="s">
        <v>73</v>
      </c>
      <c r="B351" t="s">
        <v>17</v>
      </c>
      <c r="C351" t="s">
        <v>37</v>
      </c>
      <c r="D351">
        <v>2025</v>
      </c>
      <c r="E351">
        <v>12</v>
      </c>
      <c r="H351" t="s">
        <v>23</v>
      </c>
      <c r="J351">
        <f t="shared" si="5"/>
        <v>0</v>
      </c>
      <c r="N351">
        <v>5</v>
      </c>
    </row>
    <row r="352" spans="1:17" x14ac:dyDescent="0.2">
      <c r="A352" t="s">
        <v>73</v>
      </c>
      <c r="B352" t="s">
        <v>32</v>
      </c>
      <c r="C352" t="s">
        <v>33</v>
      </c>
      <c r="D352">
        <v>2025</v>
      </c>
      <c r="H352" t="s">
        <v>33</v>
      </c>
      <c r="J352">
        <f t="shared" si="5"/>
        <v>0</v>
      </c>
      <c r="Q352" t="s">
        <v>33</v>
      </c>
    </row>
    <row r="353" spans="1:17" x14ac:dyDescent="0.2">
      <c r="A353" t="s">
        <v>75</v>
      </c>
      <c r="B353" t="s">
        <v>12</v>
      </c>
      <c r="C353" t="s">
        <v>42</v>
      </c>
      <c r="D353">
        <v>2025</v>
      </c>
      <c r="E353">
        <v>1</v>
      </c>
      <c r="F353" t="s">
        <v>24</v>
      </c>
      <c r="G353" t="s">
        <v>25</v>
      </c>
      <c r="H353" t="s">
        <v>20</v>
      </c>
      <c r="I353" t="b">
        <v>0</v>
      </c>
      <c r="J353">
        <f t="shared" si="5"/>
        <v>0</v>
      </c>
      <c r="K353">
        <v>4.9923980236053467</v>
      </c>
      <c r="L353" t="b">
        <v>0</v>
      </c>
    </row>
    <row r="354" spans="1:17" x14ac:dyDescent="0.2">
      <c r="A354" t="s">
        <v>75</v>
      </c>
      <c r="B354" t="s">
        <v>12</v>
      </c>
      <c r="C354" t="s">
        <v>42</v>
      </c>
      <c r="D354">
        <v>2025</v>
      </c>
      <c r="E354">
        <v>2</v>
      </c>
      <c r="F354" t="s">
        <v>26</v>
      </c>
      <c r="G354" t="s">
        <v>27</v>
      </c>
      <c r="I354" t="b">
        <v>0</v>
      </c>
      <c r="J354">
        <f t="shared" si="5"/>
        <v>0</v>
      </c>
      <c r="K354">
        <v>15</v>
      </c>
      <c r="L354" t="b">
        <v>1</v>
      </c>
    </row>
    <row r="355" spans="1:17" x14ac:dyDescent="0.2">
      <c r="A355" t="s">
        <v>75</v>
      </c>
      <c r="B355" t="s">
        <v>17</v>
      </c>
      <c r="C355" t="s">
        <v>42</v>
      </c>
      <c r="D355">
        <v>2025</v>
      </c>
      <c r="E355">
        <v>3</v>
      </c>
      <c r="H355" t="s">
        <v>35</v>
      </c>
      <c r="J355">
        <f t="shared" si="5"/>
        <v>0</v>
      </c>
      <c r="M355">
        <v>4</v>
      </c>
    </row>
    <row r="356" spans="1:17" x14ac:dyDescent="0.2">
      <c r="A356" t="s">
        <v>75</v>
      </c>
      <c r="B356" t="s">
        <v>12</v>
      </c>
      <c r="C356" t="s">
        <v>37</v>
      </c>
      <c r="D356">
        <v>2025</v>
      </c>
      <c r="E356">
        <v>4</v>
      </c>
      <c r="F356" t="s">
        <v>19</v>
      </c>
      <c r="G356" t="s">
        <v>20</v>
      </c>
      <c r="H356" t="s">
        <v>20</v>
      </c>
      <c r="I356" t="b">
        <v>1</v>
      </c>
      <c r="J356">
        <f t="shared" si="5"/>
        <v>1</v>
      </c>
      <c r="K356">
        <v>6.2846689224243164</v>
      </c>
      <c r="L356" t="b">
        <v>0</v>
      </c>
    </row>
    <row r="357" spans="1:17" x14ac:dyDescent="0.2">
      <c r="A357" t="s">
        <v>75</v>
      </c>
      <c r="B357" t="s">
        <v>12</v>
      </c>
      <c r="C357" t="s">
        <v>37</v>
      </c>
      <c r="D357">
        <v>2025</v>
      </c>
      <c r="E357">
        <v>5</v>
      </c>
      <c r="F357" t="s">
        <v>21</v>
      </c>
      <c r="G357" t="s">
        <v>22</v>
      </c>
      <c r="H357" t="s">
        <v>76</v>
      </c>
      <c r="I357" t="b">
        <v>0</v>
      </c>
      <c r="J357">
        <f t="shared" si="5"/>
        <v>0</v>
      </c>
      <c r="K357">
        <v>9.4270730018615723</v>
      </c>
      <c r="L357" t="b">
        <v>0</v>
      </c>
    </row>
    <row r="358" spans="1:17" x14ac:dyDescent="0.2">
      <c r="A358" t="s">
        <v>75</v>
      </c>
      <c r="B358" t="s">
        <v>17</v>
      </c>
      <c r="C358" t="s">
        <v>37</v>
      </c>
      <c r="D358">
        <v>2025</v>
      </c>
      <c r="E358">
        <v>6</v>
      </c>
      <c r="H358" t="s">
        <v>35</v>
      </c>
      <c r="J358">
        <f t="shared" si="5"/>
        <v>0</v>
      </c>
      <c r="N358">
        <v>4</v>
      </c>
    </row>
    <row r="359" spans="1:17" x14ac:dyDescent="0.2">
      <c r="A359" t="s">
        <v>75</v>
      </c>
      <c r="B359" t="s">
        <v>12</v>
      </c>
      <c r="C359" t="s">
        <v>71</v>
      </c>
      <c r="D359">
        <v>2025</v>
      </c>
      <c r="E359">
        <v>7</v>
      </c>
      <c r="F359" t="s">
        <v>13</v>
      </c>
      <c r="G359" t="s">
        <v>14</v>
      </c>
      <c r="H359" t="s">
        <v>14</v>
      </c>
      <c r="I359" t="b">
        <v>1</v>
      </c>
      <c r="J359">
        <f t="shared" si="5"/>
        <v>1</v>
      </c>
      <c r="K359">
        <v>6.3020670413970947</v>
      </c>
      <c r="L359" t="b">
        <v>0</v>
      </c>
    </row>
    <row r="360" spans="1:17" x14ac:dyDescent="0.2">
      <c r="A360" t="s">
        <v>75</v>
      </c>
      <c r="B360" t="s">
        <v>12</v>
      </c>
      <c r="C360" t="s">
        <v>71</v>
      </c>
      <c r="D360">
        <v>2025</v>
      </c>
      <c r="E360">
        <v>8</v>
      </c>
      <c r="F360" t="s">
        <v>15</v>
      </c>
      <c r="G360" t="s">
        <v>16</v>
      </c>
      <c r="I360" t="b">
        <v>0</v>
      </c>
      <c r="J360">
        <f t="shared" si="5"/>
        <v>0</v>
      </c>
      <c r="K360">
        <v>15</v>
      </c>
      <c r="L360" t="b">
        <v>1</v>
      </c>
    </row>
    <row r="361" spans="1:17" x14ac:dyDescent="0.2">
      <c r="A361" t="s">
        <v>75</v>
      </c>
      <c r="B361" t="s">
        <v>17</v>
      </c>
      <c r="C361" t="s">
        <v>71</v>
      </c>
      <c r="D361">
        <v>2025</v>
      </c>
      <c r="E361">
        <v>9</v>
      </c>
      <c r="H361" t="s">
        <v>18</v>
      </c>
      <c r="J361">
        <f t="shared" si="5"/>
        <v>0</v>
      </c>
      <c r="O361">
        <v>2</v>
      </c>
    </row>
    <row r="362" spans="1:17" x14ac:dyDescent="0.2">
      <c r="A362" t="s">
        <v>75</v>
      </c>
      <c r="B362" t="s">
        <v>12</v>
      </c>
      <c r="C362" t="s">
        <v>33</v>
      </c>
      <c r="D362">
        <v>2025</v>
      </c>
      <c r="E362">
        <v>10</v>
      </c>
      <c r="F362" t="s">
        <v>29</v>
      </c>
      <c r="G362" t="s">
        <v>30</v>
      </c>
      <c r="H362" t="s">
        <v>30</v>
      </c>
      <c r="I362" t="b">
        <v>1</v>
      </c>
      <c r="J362">
        <f t="shared" si="5"/>
        <v>1</v>
      </c>
      <c r="K362">
        <v>4.6830270290374756</v>
      </c>
      <c r="L362" t="b">
        <v>0</v>
      </c>
    </row>
    <row r="363" spans="1:17" x14ac:dyDescent="0.2">
      <c r="A363" t="s">
        <v>75</v>
      </c>
      <c r="B363" t="s">
        <v>12</v>
      </c>
      <c r="C363" t="s">
        <v>33</v>
      </c>
      <c r="D363">
        <v>2025</v>
      </c>
      <c r="E363">
        <v>11</v>
      </c>
      <c r="F363" t="s">
        <v>31</v>
      </c>
      <c r="G363" t="s">
        <v>20</v>
      </c>
      <c r="H363" t="s">
        <v>20</v>
      </c>
      <c r="I363" t="b">
        <v>1</v>
      </c>
      <c r="J363">
        <f t="shared" si="5"/>
        <v>1</v>
      </c>
      <c r="K363">
        <v>4.1844549179077148</v>
      </c>
      <c r="L363" t="b">
        <v>0</v>
      </c>
    </row>
    <row r="364" spans="1:17" x14ac:dyDescent="0.2">
      <c r="A364" t="s">
        <v>75</v>
      </c>
      <c r="B364" t="s">
        <v>17</v>
      </c>
      <c r="C364" t="s">
        <v>33</v>
      </c>
      <c r="D364">
        <v>2025</v>
      </c>
      <c r="E364">
        <v>12</v>
      </c>
      <c r="H364" t="s">
        <v>23</v>
      </c>
      <c r="J364">
        <f t="shared" si="5"/>
        <v>0</v>
      </c>
      <c r="P364">
        <v>5</v>
      </c>
    </row>
    <row r="365" spans="1:17" x14ac:dyDescent="0.2">
      <c r="A365" t="s">
        <v>75</v>
      </c>
      <c r="B365" t="s">
        <v>32</v>
      </c>
      <c r="C365" t="s">
        <v>33</v>
      </c>
      <c r="D365">
        <v>2025</v>
      </c>
      <c r="H365" t="s">
        <v>33</v>
      </c>
      <c r="J365">
        <f t="shared" si="5"/>
        <v>0</v>
      </c>
      <c r="Q365" t="s">
        <v>33</v>
      </c>
    </row>
    <row r="366" spans="1:17" x14ac:dyDescent="0.2">
      <c r="A366" t="s">
        <v>77</v>
      </c>
      <c r="B366" t="s">
        <v>12</v>
      </c>
      <c r="C366" t="s">
        <v>37</v>
      </c>
      <c r="D366">
        <v>2025</v>
      </c>
      <c r="E366">
        <v>1</v>
      </c>
      <c r="F366" t="s">
        <v>19</v>
      </c>
      <c r="G366" t="s">
        <v>20</v>
      </c>
      <c r="H366" t="s">
        <v>20</v>
      </c>
      <c r="I366" t="b">
        <v>1</v>
      </c>
      <c r="J366">
        <f t="shared" si="5"/>
        <v>1</v>
      </c>
      <c r="K366">
        <v>5.4862961769104004</v>
      </c>
      <c r="L366" t="b">
        <v>0</v>
      </c>
    </row>
    <row r="367" spans="1:17" x14ac:dyDescent="0.2">
      <c r="A367" t="s">
        <v>77</v>
      </c>
      <c r="B367" t="s">
        <v>12</v>
      </c>
      <c r="C367" t="s">
        <v>37</v>
      </c>
      <c r="D367">
        <v>2025</v>
      </c>
      <c r="E367">
        <v>2</v>
      </c>
      <c r="F367" t="s">
        <v>21</v>
      </c>
      <c r="G367" t="s">
        <v>22</v>
      </c>
      <c r="I367" t="b">
        <v>0</v>
      </c>
      <c r="J367">
        <f t="shared" si="5"/>
        <v>0</v>
      </c>
      <c r="K367">
        <v>15</v>
      </c>
      <c r="L367" t="b">
        <v>1</v>
      </c>
    </row>
    <row r="368" spans="1:17" x14ac:dyDescent="0.2">
      <c r="A368" t="s">
        <v>77</v>
      </c>
      <c r="B368" t="s">
        <v>17</v>
      </c>
      <c r="C368" t="s">
        <v>37</v>
      </c>
      <c r="D368">
        <v>2025</v>
      </c>
      <c r="E368">
        <v>3</v>
      </c>
      <c r="H368" t="s">
        <v>28</v>
      </c>
      <c r="J368">
        <f t="shared" si="5"/>
        <v>0</v>
      </c>
      <c r="N368">
        <v>3</v>
      </c>
    </row>
    <row r="369" spans="1:17" x14ac:dyDescent="0.2">
      <c r="A369" t="s">
        <v>77</v>
      </c>
      <c r="B369" t="s">
        <v>12</v>
      </c>
      <c r="C369" t="s">
        <v>71</v>
      </c>
      <c r="D369">
        <v>2025</v>
      </c>
      <c r="E369">
        <v>4</v>
      </c>
      <c r="F369" t="s">
        <v>13</v>
      </c>
      <c r="G369" t="s">
        <v>14</v>
      </c>
      <c r="H369" t="s">
        <v>14</v>
      </c>
      <c r="I369" t="b">
        <v>1</v>
      </c>
      <c r="J369">
        <f t="shared" si="5"/>
        <v>1</v>
      </c>
      <c r="K369">
        <v>6.3674008846282959</v>
      </c>
      <c r="L369" t="b">
        <v>0</v>
      </c>
    </row>
    <row r="370" spans="1:17" x14ac:dyDescent="0.2">
      <c r="A370" t="s">
        <v>77</v>
      </c>
      <c r="B370" t="s">
        <v>12</v>
      </c>
      <c r="C370" t="s">
        <v>71</v>
      </c>
      <c r="D370">
        <v>2025</v>
      </c>
      <c r="E370">
        <v>5</v>
      </c>
      <c r="F370" t="s">
        <v>15</v>
      </c>
      <c r="G370" t="s">
        <v>16</v>
      </c>
      <c r="I370" t="b">
        <v>0</v>
      </c>
      <c r="J370">
        <f t="shared" si="5"/>
        <v>0</v>
      </c>
      <c r="K370">
        <v>15</v>
      </c>
      <c r="L370" t="b">
        <v>1</v>
      </c>
    </row>
    <row r="371" spans="1:17" x14ac:dyDescent="0.2">
      <c r="A371" t="s">
        <v>77</v>
      </c>
      <c r="B371" t="s">
        <v>17</v>
      </c>
      <c r="C371" t="s">
        <v>71</v>
      </c>
      <c r="D371">
        <v>2025</v>
      </c>
      <c r="E371">
        <v>6</v>
      </c>
      <c r="H371" t="s">
        <v>62</v>
      </c>
      <c r="J371">
        <f t="shared" si="5"/>
        <v>0</v>
      </c>
      <c r="O371">
        <v>1</v>
      </c>
    </row>
    <row r="372" spans="1:17" x14ac:dyDescent="0.2">
      <c r="A372" t="s">
        <v>77</v>
      </c>
      <c r="B372" t="s">
        <v>12</v>
      </c>
      <c r="C372" t="s">
        <v>42</v>
      </c>
      <c r="D372">
        <v>2025</v>
      </c>
      <c r="E372">
        <v>7</v>
      </c>
      <c r="F372" t="s">
        <v>24</v>
      </c>
      <c r="G372" t="s">
        <v>25</v>
      </c>
      <c r="H372" t="s">
        <v>20</v>
      </c>
      <c r="I372" t="b">
        <v>0</v>
      </c>
      <c r="J372">
        <f t="shared" si="5"/>
        <v>0</v>
      </c>
      <c r="K372">
        <v>8.6514749526977539</v>
      </c>
      <c r="L372" t="b">
        <v>0</v>
      </c>
    </row>
    <row r="373" spans="1:17" x14ac:dyDescent="0.2">
      <c r="A373" t="s">
        <v>77</v>
      </c>
      <c r="B373" t="s">
        <v>12</v>
      </c>
      <c r="C373" t="s">
        <v>42</v>
      </c>
      <c r="D373">
        <v>2025</v>
      </c>
      <c r="E373">
        <v>8</v>
      </c>
      <c r="F373" t="s">
        <v>26</v>
      </c>
      <c r="G373" t="s">
        <v>27</v>
      </c>
      <c r="H373" t="s">
        <v>27</v>
      </c>
      <c r="I373" t="b">
        <v>1</v>
      </c>
      <c r="J373">
        <f t="shared" si="5"/>
        <v>1</v>
      </c>
      <c r="K373">
        <v>11.6637179851532</v>
      </c>
      <c r="L373" t="b">
        <v>0</v>
      </c>
    </row>
    <row r="374" spans="1:17" x14ac:dyDescent="0.2">
      <c r="A374" t="s">
        <v>77</v>
      </c>
      <c r="B374" t="s">
        <v>17</v>
      </c>
      <c r="C374" t="s">
        <v>42</v>
      </c>
      <c r="D374">
        <v>2025</v>
      </c>
      <c r="E374">
        <v>9</v>
      </c>
      <c r="H374" t="s">
        <v>35</v>
      </c>
      <c r="J374">
        <f t="shared" si="5"/>
        <v>0</v>
      </c>
      <c r="M374">
        <v>4</v>
      </c>
    </row>
    <row r="375" spans="1:17" x14ac:dyDescent="0.2">
      <c r="A375" t="s">
        <v>77</v>
      </c>
      <c r="B375" t="s">
        <v>12</v>
      </c>
      <c r="C375" t="s">
        <v>33</v>
      </c>
      <c r="D375">
        <v>2025</v>
      </c>
      <c r="E375">
        <v>10</v>
      </c>
      <c r="F375" t="s">
        <v>29</v>
      </c>
      <c r="G375" t="s">
        <v>30</v>
      </c>
      <c r="H375" t="s">
        <v>30</v>
      </c>
      <c r="I375" t="b">
        <v>1</v>
      </c>
      <c r="J375">
        <f t="shared" si="5"/>
        <v>1</v>
      </c>
      <c r="K375">
        <v>4.9375710487365723</v>
      </c>
      <c r="L375" t="b">
        <v>0</v>
      </c>
    </row>
    <row r="376" spans="1:17" x14ac:dyDescent="0.2">
      <c r="A376" t="s">
        <v>77</v>
      </c>
      <c r="B376" t="s">
        <v>12</v>
      </c>
      <c r="C376" t="s">
        <v>33</v>
      </c>
      <c r="D376">
        <v>2025</v>
      </c>
      <c r="E376">
        <v>11</v>
      </c>
      <c r="F376" t="s">
        <v>31</v>
      </c>
      <c r="G376" t="s">
        <v>20</v>
      </c>
      <c r="H376" t="s">
        <v>20</v>
      </c>
      <c r="I376" t="b">
        <v>1</v>
      </c>
      <c r="J376">
        <f t="shared" si="5"/>
        <v>1</v>
      </c>
      <c r="K376">
        <v>3.928380012512207</v>
      </c>
      <c r="L376" t="b">
        <v>0</v>
      </c>
    </row>
    <row r="377" spans="1:17" x14ac:dyDescent="0.2">
      <c r="A377" t="s">
        <v>77</v>
      </c>
      <c r="B377" t="s">
        <v>17</v>
      </c>
      <c r="C377" t="s">
        <v>33</v>
      </c>
      <c r="D377">
        <v>2025</v>
      </c>
      <c r="E377">
        <v>12</v>
      </c>
      <c r="H377" t="s">
        <v>23</v>
      </c>
      <c r="J377">
        <f t="shared" si="5"/>
        <v>0</v>
      </c>
      <c r="P377">
        <v>5</v>
      </c>
    </row>
    <row r="378" spans="1:17" x14ac:dyDescent="0.2">
      <c r="A378" t="s">
        <v>77</v>
      </c>
      <c r="B378" t="s">
        <v>32</v>
      </c>
      <c r="C378" t="s">
        <v>33</v>
      </c>
      <c r="D378">
        <v>2025</v>
      </c>
      <c r="H378" t="s">
        <v>33</v>
      </c>
      <c r="J378">
        <f t="shared" si="5"/>
        <v>0</v>
      </c>
      <c r="Q378" t="s">
        <v>33</v>
      </c>
    </row>
    <row r="379" spans="1:17" x14ac:dyDescent="0.2">
      <c r="A379" t="s">
        <v>78</v>
      </c>
      <c r="B379" t="s">
        <v>12</v>
      </c>
      <c r="C379" t="s">
        <v>33</v>
      </c>
      <c r="D379">
        <v>2025</v>
      </c>
      <c r="E379">
        <v>1</v>
      </c>
      <c r="F379" t="s">
        <v>29</v>
      </c>
      <c r="G379" t="s">
        <v>30</v>
      </c>
      <c r="I379" t="b">
        <v>0</v>
      </c>
      <c r="J379">
        <f t="shared" si="5"/>
        <v>0</v>
      </c>
      <c r="K379">
        <v>15</v>
      </c>
      <c r="L379" t="b">
        <v>1</v>
      </c>
    </row>
    <row r="380" spans="1:17" x14ac:dyDescent="0.2">
      <c r="A380" t="s">
        <v>78</v>
      </c>
      <c r="B380" t="s">
        <v>12</v>
      </c>
      <c r="C380" t="s">
        <v>33</v>
      </c>
      <c r="D380">
        <v>2025</v>
      </c>
      <c r="E380">
        <v>2</v>
      </c>
      <c r="F380" t="s">
        <v>31</v>
      </c>
      <c r="G380" t="s">
        <v>20</v>
      </c>
      <c r="H380" t="s">
        <v>20</v>
      </c>
      <c r="I380" t="b">
        <v>1</v>
      </c>
      <c r="J380">
        <f t="shared" si="5"/>
        <v>1</v>
      </c>
      <c r="K380">
        <v>10.54867911338806</v>
      </c>
      <c r="L380" t="b">
        <v>0</v>
      </c>
    </row>
    <row r="381" spans="1:17" x14ac:dyDescent="0.2">
      <c r="A381" t="s">
        <v>78</v>
      </c>
      <c r="B381" t="s">
        <v>17</v>
      </c>
      <c r="C381" t="s">
        <v>33</v>
      </c>
      <c r="D381">
        <v>2025</v>
      </c>
      <c r="E381">
        <v>3</v>
      </c>
      <c r="H381" t="s">
        <v>23</v>
      </c>
      <c r="J381">
        <f t="shared" si="5"/>
        <v>0</v>
      </c>
      <c r="P381">
        <v>5</v>
      </c>
    </row>
    <row r="382" spans="1:17" x14ac:dyDescent="0.2">
      <c r="A382" t="s">
        <v>78</v>
      </c>
      <c r="B382" t="s">
        <v>12</v>
      </c>
      <c r="C382" t="s">
        <v>42</v>
      </c>
      <c r="D382">
        <v>2025</v>
      </c>
      <c r="E382">
        <v>4</v>
      </c>
      <c r="F382" t="s">
        <v>24</v>
      </c>
      <c r="G382" t="s">
        <v>25</v>
      </c>
      <c r="H382" t="s">
        <v>25</v>
      </c>
      <c r="I382" t="b">
        <v>1</v>
      </c>
      <c r="J382">
        <f t="shared" si="5"/>
        <v>1</v>
      </c>
      <c r="K382">
        <v>5.8222808837890616</v>
      </c>
      <c r="L382" t="b">
        <v>0</v>
      </c>
    </row>
    <row r="383" spans="1:17" x14ac:dyDescent="0.2">
      <c r="A383" t="s">
        <v>78</v>
      </c>
      <c r="B383" t="s">
        <v>12</v>
      </c>
      <c r="C383" t="s">
        <v>42</v>
      </c>
      <c r="D383">
        <v>2025</v>
      </c>
      <c r="E383">
        <v>5</v>
      </c>
      <c r="F383" t="s">
        <v>26</v>
      </c>
      <c r="G383" t="s">
        <v>27</v>
      </c>
      <c r="H383" t="s">
        <v>59</v>
      </c>
      <c r="I383" t="b">
        <v>0</v>
      </c>
      <c r="J383">
        <f t="shared" si="5"/>
        <v>0</v>
      </c>
      <c r="K383">
        <v>9.7395131587982178</v>
      </c>
      <c r="L383" t="b">
        <v>0</v>
      </c>
    </row>
    <row r="384" spans="1:17" x14ac:dyDescent="0.2">
      <c r="A384" t="s">
        <v>78</v>
      </c>
      <c r="B384" t="s">
        <v>17</v>
      </c>
      <c r="C384" t="s">
        <v>42</v>
      </c>
      <c r="D384">
        <v>2025</v>
      </c>
      <c r="E384">
        <v>6</v>
      </c>
      <c r="H384" t="s">
        <v>35</v>
      </c>
      <c r="J384">
        <f t="shared" si="5"/>
        <v>0</v>
      </c>
      <c r="M384">
        <v>4</v>
      </c>
    </row>
    <row r="385" spans="1:17" x14ac:dyDescent="0.2">
      <c r="A385" t="s">
        <v>78</v>
      </c>
      <c r="B385" t="s">
        <v>12</v>
      </c>
      <c r="C385" t="s">
        <v>71</v>
      </c>
      <c r="D385">
        <v>2025</v>
      </c>
      <c r="E385">
        <v>7</v>
      </c>
      <c r="F385" t="s">
        <v>13</v>
      </c>
      <c r="G385" t="s">
        <v>14</v>
      </c>
      <c r="H385" t="s">
        <v>14</v>
      </c>
      <c r="I385" t="b">
        <v>1</v>
      </c>
      <c r="J385">
        <f t="shared" si="5"/>
        <v>1</v>
      </c>
      <c r="K385">
        <v>5.2858679294586182</v>
      </c>
      <c r="L385" t="b">
        <v>0</v>
      </c>
    </row>
    <row r="386" spans="1:17" x14ac:dyDescent="0.2">
      <c r="A386" t="s">
        <v>78</v>
      </c>
      <c r="B386" t="s">
        <v>12</v>
      </c>
      <c r="C386" t="s">
        <v>71</v>
      </c>
      <c r="D386">
        <v>2025</v>
      </c>
      <c r="E386">
        <v>8</v>
      </c>
      <c r="F386" t="s">
        <v>15</v>
      </c>
      <c r="G386" t="s">
        <v>16</v>
      </c>
      <c r="I386" t="b">
        <v>0</v>
      </c>
      <c r="J386">
        <f t="shared" si="5"/>
        <v>0</v>
      </c>
      <c r="K386">
        <v>15</v>
      </c>
      <c r="L386" t="b">
        <v>1</v>
      </c>
    </row>
    <row r="387" spans="1:17" x14ac:dyDescent="0.2">
      <c r="A387" t="s">
        <v>78</v>
      </c>
      <c r="B387" t="s">
        <v>17</v>
      </c>
      <c r="C387" t="s">
        <v>71</v>
      </c>
      <c r="D387">
        <v>2025</v>
      </c>
      <c r="E387">
        <v>9</v>
      </c>
      <c r="H387" t="s">
        <v>18</v>
      </c>
      <c r="J387">
        <f t="shared" ref="J387:J391" si="6">IF(I387=TRUE, 1, 0)</f>
        <v>0</v>
      </c>
      <c r="O387">
        <v>2</v>
      </c>
    </row>
    <row r="388" spans="1:17" x14ac:dyDescent="0.2">
      <c r="A388" t="s">
        <v>78</v>
      </c>
      <c r="B388" t="s">
        <v>12</v>
      </c>
      <c r="C388" t="s">
        <v>37</v>
      </c>
      <c r="D388">
        <v>2025</v>
      </c>
      <c r="E388">
        <v>10</v>
      </c>
      <c r="F388" t="s">
        <v>19</v>
      </c>
      <c r="G388" t="s">
        <v>20</v>
      </c>
      <c r="I388" t="b">
        <v>0</v>
      </c>
      <c r="J388">
        <f t="shared" si="6"/>
        <v>0</v>
      </c>
      <c r="K388">
        <v>15</v>
      </c>
      <c r="L388" t="b">
        <v>1</v>
      </c>
    </row>
    <row r="389" spans="1:17" x14ac:dyDescent="0.2">
      <c r="A389" t="s">
        <v>78</v>
      </c>
      <c r="B389" t="s">
        <v>12</v>
      </c>
      <c r="C389" t="s">
        <v>37</v>
      </c>
      <c r="D389">
        <v>2025</v>
      </c>
      <c r="E389">
        <v>11</v>
      </c>
      <c r="F389" t="s">
        <v>21</v>
      </c>
      <c r="G389" t="s">
        <v>22</v>
      </c>
      <c r="H389" t="s">
        <v>25</v>
      </c>
      <c r="I389" t="b">
        <v>0</v>
      </c>
      <c r="J389">
        <f t="shared" si="6"/>
        <v>0</v>
      </c>
      <c r="K389">
        <v>8.9669480323791504</v>
      </c>
      <c r="L389" t="b">
        <v>0</v>
      </c>
    </row>
    <row r="390" spans="1:17" x14ac:dyDescent="0.2">
      <c r="A390" t="s">
        <v>78</v>
      </c>
      <c r="B390" t="s">
        <v>17</v>
      </c>
      <c r="C390" t="s">
        <v>37</v>
      </c>
      <c r="D390">
        <v>2025</v>
      </c>
      <c r="E390">
        <v>12</v>
      </c>
      <c r="H390" t="s">
        <v>28</v>
      </c>
      <c r="J390">
        <f t="shared" si="6"/>
        <v>0</v>
      </c>
      <c r="N390">
        <v>3</v>
      </c>
    </row>
    <row r="391" spans="1:17" x14ac:dyDescent="0.2">
      <c r="A391" t="s">
        <v>78</v>
      </c>
      <c r="B391" t="s">
        <v>32</v>
      </c>
      <c r="C391" t="s">
        <v>33</v>
      </c>
      <c r="D391">
        <v>2025</v>
      </c>
      <c r="H391" t="s">
        <v>33</v>
      </c>
      <c r="J391">
        <f t="shared" si="6"/>
        <v>0</v>
      </c>
      <c r="Q391" t="s">
        <v>33</v>
      </c>
    </row>
  </sheetData>
  <autoFilter ref="C1:C39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5800-C183-7049-A1E0-8BF3F9FA6F18}">
  <dimension ref="A3:B36"/>
  <sheetViews>
    <sheetView tabSelected="1" workbookViewId="0">
      <selection activeCell="N23" sqref="N23"/>
    </sheetView>
  </sheetViews>
  <sheetFormatPr baseColWidth="10" defaultRowHeight="15" x14ac:dyDescent="0.2"/>
  <cols>
    <col min="1" max="1" width="12.1640625" bestFit="1" customWidth="1"/>
    <col min="2" max="2" width="15.83203125" bestFit="1" customWidth="1"/>
    <col min="3" max="3" width="9.5" bestFit="1" customWidth="1"/>
    <col min="4" max="4" width="9.6640625" bestFit="1" customWidth="1"/>
    <col min="5" max="5" width="8.5" bestFit="1" customWidth="1"/>
    <col min="6" max="6" width="12.1640625" bestFit="1" customWidth="1"/>
  </cols>
  <sheetData>
    <row r="3" spans="1:2" x14ac:dyDescent="0.2">
      <c r="A3" s="2" t="s">
        <v>80</v>
      </c>
      <c r="B3" t="s">
        <v>82</v>
      </c>
    </row>
    <row r="4" spans="1:2" x14ac:dyDescent="0.2">
      <c r="A4" s="3" t="s">
        <v>37</v>
      </c>
      <c r="B4" s="5">
        <v>0.47619047619047616</v>
      </c>
    </row>
    <row r="5" spans="1:2" x14ac:dyDescent="0.2">
      <c r="A5" s="3" t="s">
        <v>33</v>
      </c>
      <c r="B5" s="5">
        <v>0.45098039215686275</v>
      </c>
    </row>
    <row r="6" spans="1:2" x14ac:dyDescent="0.2">
      <c r="A6" s="3" t="s">
        <v>42</v>
      </c>
      <c r="B6" s="5">
        <v>0.32608695652173914</v>
      </c>
    </row>
    <row r="7" spans="1:2" x14ac:dyDescent="0.2">
      <c r="A7" s="3" t="s">
        <v>71</v>
      </c>
      <c r="B7" s="5">
        <v>0.31868131868131866</v>
      </c>
    </row>
    <row r="8" spans="1:2" x14ac:dyDescent="0.2">
      <c r="A8" s="3" t="s">
        <v>81</v>
      </c>
      <c r="B8" s="4">
        <v>0.39743589743589741</v>
      </c>
    </row>
    <row r="31" spans="1:2" x14ac:dyDescent="0.2">
      <c r="A31" s="2" t="s">
        <v>80</v>
      </c>
      <c r="B31" t="s">
        <v>83</v>
      </c>
    </row>
    <row r="32" spans="1:2" x14ac:dyDescent="0.2">
      <c r="A32" s="3" t="s">
        <v>71</v>
      </c>
      <c r="B32" s="6">
        <v>10.55794221162796</v>
      </c>
    </row>
    <row r="33" spans="1:2" x14ac:dyDescent="0.2">
      <c r="A33" s="3" t="s">
        <v>42</v>
      </c>
      <c r="B33" s="6">
        <v>10.205177919069927</v>
      </c>
    </row>
    <row r="34" spans="1:2" x14ac:dyDescent="0.2">
      <c r="A34" s="3" t="s">
        <v>37</v>
      </c>
      <c r="B34" s="6">
        <v>8.0018586635589593</v>
      </c>
    </row>
    <row r="35" spans="1:2" x14ac:dyDescent="0.2">
      <c r="A35" s="3" t="s">
        <v>33</v>
      </c>
      <c r="B35" s="6">
        <v>7.569679591615321</v>
      </c>
    </row>
    <row r="36" spans="1:2" x14ac:dyDescent="0.2">
      <c r="A36" s="3" t="s">
        <v>81</v>
      </c>
      <c r="B36" s="6">
        <v>9.0899992617603118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B4EC-4D15-D641-8004-D2A5869AD9CE}">
  <dimension ref="A3:F35"/>
  <sheetViews>
    <sheetView workbookViewId="0">
      <selection activeCell="E12" sqref="E12"/>
    </sheetView>
  </sheetViews>
  <sheetFormatPr baseColWidth="10" defaultRowHeight="15" x14ac:dyDescent="0.2"/>
  <cols>
    <col min="1" max="1" width="19.83203125" bestFit="1" customWidth="1"/>
    <col min="2" max="2" width="14.83203125" bestFit="1" customWidth="1"/>
    <col min="3" max="6" width="12.1640625" bestFit="1" customWidth="1"/>
  </cols>
  <sheetData>
    <row r="3" spans="1:6" x14ac:dyDescent="0.2">
      <c r="A3" s="2" t="s">
        <v>82</v>
      </c>
      <c r="B3" s="2" t="s">
        <v>84</v>
      </c>
    </row>
    <row r="4" spans="1:6" x14ac:dyDescent="0.2">
      <c r="A4" s="2" t="s">
        <v>80</v>
      </c>
      <c r="B4" t="s">
        <v>37</v>
      </c>
      <c r="C4" t="s">
        <v>33</v>
      </c>
      <c r="D4" t="s">
        <v>71</v>
      </c>
      <c r="E4" t="s">
        <v>42</v>
      </c>
      <c r="F4" t="s">
        <v>81</v>
      </c>
    </row>
    <row r="5" spans="1:6" x14ac:dyDescent="0.2">
      <c r="A5" s="3" t="s">
        <v>48</v>
      </c>
      <c r="B5" s="4">
        <v>0.66666666666666663</v>
      </c>
      <c r="C5" s="4">
        <v>0.5</v>
      </c>
      <c r="D5" s="4">
        <v>0.66666666666666663</v>
      </c>
      <c r="E5" s="4">
        <v>0.66666666666666663</v>
      </c>
      <c r="F5" s="4">
        <v>0.61538461538461542</v>
      </c>
    </row>
    <row r="6" spans="1:6" x14ac:dyDescent="0.2">
      <c r="A6" s="3" t="s">
        <v>11</v>
      </c>
      <c r="B6" s="4">
        <v>0.66666666666666663</v>
      </c>
      <c r="C6" s="4">
        <v>0.5</v>
      </c>
      <c r="D6" s="4">
        <v>0.33333333333333331</v>
      </c>
      <c r="E6" s="4">
        <v>0.66666666666666663</v>
      </c>
      <c r="F6" s="4">
        <v>0.53846153846153844</v>
      </c>
    </row>
    <row r="7" spans="1:6" x14ac:dyDescent="0.2">
      <c r="A7" s="3" t="s">
        <v>34</v>
      </c>
      <c r="B7" s="4">
        <v>0.66666666666666663</v>
      </c>
      <c r="C7" s="4">
        <v>0.5</v>
      </c>
      <c r="D7" s="4">
        <v>0.33333333333333331</v>
      </c>
      <c r="E7" s="4">
        <v>0</v>
      </c>
      <c r="F7" s="4">
        <v>0.38461538461538464</v>
      </c>
    </row>
    <row r="8" spans="1:6" x14ac:dyDescent="0.2">
      <c r="A8" s="3" t="s">
        <v>36</v>
      </c>
      <c r="B8" s="4">
        <v>0.5</v>
      </c>
      <c r="C8" s="4">
        <v>0.66666666666666663</v>
      </c>
      <c r="D8" s="4">
        <v>0.33333333333333331</v>
      </c>
      <c r="E8" s="4">
        <v>0.33333333333333331</v>
      </c>
      <c r="F8" s="4">
        <v>0.46153846153846156</v>
      </c>
    </row>
    <row r="9" spans="1:6" x14ac:dyDescent="0.2">
      <c r="A9" s="3" t="s">
        <v>38</v>
      </c>
      <c r="B9" s="4">
        <v>0.66666666666666663</v>
      </c>
      <c r="C9" s="4">
        <v>0.5</v>
      </c>
      <c r="D9" s="4">
        <v>0.33333333333333331</v>
      </c>
      <c r="E9" s="4">
        <v>0.33333333333333331</v>
      </c>
      <c r="F9" s="4">
        <v>0.46153846153846156</v>
      </c>
    </row>
    <row r="10" spans="1:6" x14ac:dyDescent="0.2">
      <c r="A10" s="3" t="s">
        <v>39</v>
      </c>
      <c r="B10" s="4">
        <v>0.66666666666666663</v>
      </c>
      <c r="C10" s="4">
        <v>0.25</v>
      </c>
      <c r="D10" s="4">
        <v>0.33333333333333331</v>
      </c>
      <c r="E10" s="4">
        <v>0.33333333333333331</v>
      </c>
      <c r="F10" s="4">
        <v>0.38461538461538464</v>
      </c>
    </row>
    <row r="11" spans="1:6" x14ac:dyDescent="0.2">
      <c r="A11" s="3" t="s">
        <v>41</v>
      </c>
      <c r="B11" s="4">
        <v>0.66666666666666663</v>
      </c>
      <c r="C11" s="4">
        <v>0.66666666666666663</v>
      </c>
      <c r="D11" s="4">
        <v>0.33333333333333331</v>
      </c>
      <c r="E11" s="4">
        <v>0.25</v>
      </c>
      <c r="F11" s="4">
        <v>0.46153846153846156</v>
      </c>
    </row>
    <row r="12" spans="1:6" x14ac:dyDescent="0.2">
      <c r="A12" s="3" t="s">
        <v>43</v>
      </c>
      <c r="B12" s="4">
        <v>0.66666666666666663</v>
      </c>
      <c r="C12" s="4">
        <v>0</v>
      </c>
      <c r="D12" s="4">
        <v>0.33333333333333331</v>
      </c>
      <c r="E12" s="4">
        <v>0.33333333333333331</v>
      </c>
      <c r="F12" s="4">
        <v>0.30769230769230771</v>
      </c>
    </row>
    <row r="13" spans="1:6" x14ac:dyDescent="0.2">
      <c r="A13" s="3" t="s">
        <v>44</v>
      </c>
      <c r="B13" s="4">
        <v>0.66666666666666663</v>
      </c>
      <c r="C13" s="4">
        <v>0.25</v>
      </c>
      <c r="D13" s="4">
        <v>0.33333333333333331</v>
      </c>
      <c r="E13" s="4">
        <v>0.33333333333333331</v>
      </c>
      <c r="F13" s="4">
        <v>0.38461538461538464</v>
      </c>
    </row>
    <row r="14" spans="1:6" x14ac:dyDescent="0.2">
      <c r="A14" s="3" t="s">
        <v>46</v>
      </c>
      <c r="B14" s="4">
        <v>0.5</v>
      </c>
      <c r="C14" s="4">
        <v>0.66666666666666663</v>
      </c>
      <c r="D14" s="4">
        <v>0.33333333333333331</v>
      </c>
      <c r="E14" s="4">
        <v>0.33333333333333331</v>
      </c>
      <c r="F14" s="4">
        <v>0.46153846153846156</v>
      </c>
    </row>
    <row r="15" spans="1:6" x14ac:dyDescent="0.2">
      <c r="A15" s="3" t="s">
        <v>47</v>
      </c>
      <c r="B15" s="4">
        <v>0.5</v>
      </c>
      <c r="C15" s="4">
        <v>0.33333333333333331</v>
      </c>
      <c r="D15" s="4">
        <v>0.33333333333333331</v>
      </c>
      <c r="E15" s="4">
        <v>0.33333333333333331</v>
      </c>
      <c r="F15" s="4">
        <v>0.38461538461538464</v>
      </c>
    </row>
    <row r="16" spans="1:6" x14ac:dyDescent="0.2">
      <c r="A16" s="3" t="s">
        <v>53</v>
      </c>
      <c r="B16" s="4">
        <v>0.25</v>
      </c>
      <c r="C16" s="4">
        <v>0.66666666666666663</v>
      </c>
      <c r="D16" s="4">
        <v>0.33333333333333331</v>
      </c>
      <c r="E16" s="4">
        <v>0.33333333333333331</v>
      </c>
      <c r="F16" s="4">
        <v>0.38461538461538464</v>
      </c>
    </row>
    <row r="17" spans="1:6" x14ac:dyDescent="0.2">
      <c r="A17" s="3" t="s">
        <v>54</v>
      </c>
      <c r="B17" s="4">
        <v>0.5</v>
      </c>
      <c r="C17" s="4">
        <v>0.66666666666666663</v>
      </c>
      <c r="D17" s="4">
        <v>0.33333333333333331</v>
      </c>
      <c r="E17" s="4">
        <v>0.33333333333333331</v>
      </c>
      <c r="F17" s="4">
        <v>0.46153846153846156</v>
      </c>
    </row>
    <row r="18" spans="1:6" x14ac:dyDescent="0.2">
      <c r="A18" s="3" t="s">
        <v>55</v>
      </c>
      <c r="B18" s="4">
        <v>0.5</v>
      </c>
      <c r="C18" s="4">
        <v>0.33333333333333331</v>
      </c>
      <c r="D18" s="4">
        <v>0.66666666666666663</v>
      </c>
      <c r="E18" s="4">
        <v>0.33333333333333331</v>
      </c>
      <c r="F18" s="4">
        <v>0.46153846153846156</v>
      </c>
    </row>
    <row r="19" spans="1:6" x14ac:dyDescent="0.2">
      <c r="A19" s="3" t="s">
        <v>56</v>
      </c>
      <c r="B19" s="4">
        <v>0.5</v>
      </c>
      <c r="C19" s="4">
        <v>0.66666666666666663</v>
      </c>
      <c r="D19" s="4">
        <v>0</v>
      </c>
      <c r="E19" s="4">
        <v>0.33333333333333331</v>
      </c>
      <c r="F19" s="4">
        <v>0.38461538461538464</v>
      </c>
    </row>
    <row r="20" spans="1:6" x14ac:dyDescent="0.2">
      <c r="A20" s="3" t="s">
        <v>57</v>
      </c>
      <c r="B20" s="4">
        <v>0.33333333333333331</v>
      </c>
      <c r="C20" s="4">
        <v>0.66666666666666663</v>
      </c>
      <c r="D20" s="4">
        <v>0.33333333333333331</v>
      </c>
      <c r="E20" s="4">
        <v>0.5</v>
      </c>
      <c r="F20" s="4">
        <v>0.46153846153846156</v>
      </c>
    </row>
    <row r="21" spans="1:6" x14ac:dyDescent="0.2">
      <c r="A21" s="3" t="s">
        <v>58</v>
      </c>
      <c r="B21" s="4">
        <v>0.25</v>
      </c>
      <c r="C21" s="4">
        <v>0.66666666666666663</v>
      </c>
      <c r="D21" s="4">
        <v>0.33333333333333331</v>
      </c>
      <c r="E21" s="4">
        <v>0.33333333333333331</v>
      </c>
      <c r="F21" s="4">
        <v>0.38461538461538464</v>
      </c>
    </row>
    <row r="22" spans="1:6" x14ac:dyDescent="0.2">
      <c r="A22" s="3" t="s">
        <v>60</v>
      </c>
      <c r="B22" s="4">
        <v>0.33333333333333331</v>
      </c>
      <c r="C22" s="4">
        <v>0</v>
      </c>
      <c r="D22" s="4">
        <v>0</v>
      </c>
      <c r="E22" s="4">
        <v>0</v>
      </c>
      <c r="F22" s="4">
        <v>7.6923076923076927E-2</v>
      </c>
    </row>
    <row r="23" spans="1:6" x14ac:dyDescent="0.2">
      <c r="A23" s="3" t="s">
        <v>61</v>
      </c>
      <c r="B23" s="4">
        <v>0.5</v>
      </c>
      <c r="C23" s="4">
        <v>0.66666666666666663</v>
      </c>
      <c r="D23" s="4">
        <v>0.33333333333333331</v>
      </c>
      <c r="E23" s="4">
        <v>0.33333333333333331</v>
      </c>
      <c r="F23" s="4">
        <v>0.46153846153846156</v>
      </c>
    </row>
    <row r="24" spans="1:6" x14ac:dyDescent="0.2">
      <c r="A24" s="3" t="s">
        <v>64</v>
      </c>
      <c r="B24" s="4">
        <v>0.5</v>
      </c>
      <c r="C24" s="4">
        <v>0.66666666666666663</v>
      </c>
      <c r="D24" s="4">
        <v>0</v>
      </c>
      <c r="E24" s="4">
        <v>0.33333333333333331</v>
      </c>
      <c r="F24" s="4">
        <v>0.38461538461538464</v>
      </c>
    </row>
    <row r="25" spans="1:6" x14ac:dyDescent="0.2">
      <c r="A25" s="3" t="s">
        <v>65</v>
      </c>
      <c r="B25" s="4">
        <v>0.5</v>
      </c>
      <c r="C25" s="4">
        <v>0</v>
      </c>
      <c r="D25" s="4">
        <v>0.66666666666666663</v>
      </c>
      <c r="E25" s="4">
        <v>0.33333333333333331</v>
      </c>
      <c r="F25" s="4">
        <v>0.38461538461538464</v>
      </c>
    </row>
    <row r="26" spans="1:6" x14ac:dyDescent="0.2">
      <c r="A26" s="3" t="s">
        <v>66</v>
      </c>
      <c r="B26" s="4">
        <v>0.25</v>
      </c>
      <c r="C26" s="4">
        <v>0.66666666666666663</v>
      </c>
      <c r="D26" s="4">
        <v>0.33333333333333331</v>
      </c>
      <c r="E26" s="4">
        <v>0.33333333333333331</v>
      </c>
      <c r="F26" s="4">
        <v>0.38461538461538464</v>
      </c>
    </row>
    <row r="27" spans="1:6" x14ac:dyDescent="0.2">
      <c r="A27" s="3" t="s">
        <v>67</v>
      </c>
      <c r="B27" s="4">
        <v>0.4</v>
      </c>
      <c r="C27" s="4">
        <v>0</v>
      </c>
      <c r="D27" s="4">
        <v>0.33333333333333331</v>
      </c>
      <c r="E27" s="4">
        <v>0.33333333333333331</v>
      </c>
      <c r="F27" s="4">
        <v>0.30769230769230771</v>
      </c>
    </row>
    <row r="28" spans="1:6" x14ac:dyDescent="0.2">
      <c r="A28" s="3" t="s">
        <v>68</v>
      </c>
      <c r="B28" s="4">
        <v>0.66666666666666663</v>
      </c>
      <c r="C28" s="4">
        <v>0.5</v>
      </c>
      <c r="D28" s="4">
        <v>0.33333333333333331</v>
      </c>
      <c r="E28" s="4">
        <v>0.33333333333333331</v>
      </c>
      <c r="F28" s="4">
        <v>0.46153846153846156</v>
      </c>
    </row>
    <row r="29" spans="1:6" x14ac:dyDescent="0.2">
      <c r="A29" s="3" t="s">
        <v>70</v>
      </c>
      <c r="B29" s="4">
        <v>0.66666666666666663</v>
      </c>
      <c r="C29" s="4">
        <v>0.66666666666666663</v>
      </c>
      <c r="D29" s="4">
        <v>0.25</v>
      </c>
      <c r="E29" s="4">
        <v>0.33333333333333331</v>
      </c>
      <c r="F29" s="4">
        <v>0.46153846153846156</v>
      </c>
    </row>
    <row r="30" spans="1:6" x14ac:dyDescent="0.2">
      <c r="A30" s="3" t="s">
        <v>72</v>
      </c>
      <c r="B30" s="4">
        <v>0.5</v>
      </c>
      <c r="C30" s="4">
        <v>0.66666666666666663</v>
      </c>
      <c r="D30" s="4">
        <v>0.33333333333333331</v>
      </c>
      <c r="E30" s="4">
        <v>0.33333333333333331</v>
      </c>
      <c r="F30" s="4">
        <v>0.46153846153846156</v>
      </c>
    </row>
    <row r="31" spans="1:6" x14ac:dyDescent="0.2">
      <c r="A31" s="3" t="s">
        <v>73</v>
      </c>
      <c r="B31" s="4">
        <v>0.33333333333333331</v>
      </c>
      <c r="C31" s="4">
        <v>0.25</v>
      </c>
      <c r="D31" s="4">
        <v>0</v>
      </c>
      <c r="E31" s="4">
        <v>0.33333333333333331</v>
      </c>
      <c r="F31" s="4">
        <v>0.23076923076923078</v>
      </c>
    </row>
    <row r="32" spans="1:6" x14ac:dyDescent="0.2">
      <c r="A32" s="3" t="s">
        <v>75</v>
      </c>
      <c r="B32" s="4">
        <v>0.33333333333333331</v>
      </c>
      <c r="C32" s="4">
        <v>0.5</v>
      </c>
      <c r="D32" s="4">
        <v>0.33333333333333331</v>
      </c>
      <c r="E32" s="4">
        <v>0</v>
      </c>
      <c r="F32" s="4">
        <v>0.30769230769230771</v>
      </c>
    </row>
    <row r="33" spans="1:6" x14ac:dyDescent="0.2">
      <c r="A33" s="3" t="s">
        <v>77</v>
      </c>
      <c r="B33" s="4">
        <v>0.33333333333333331</v>
      </c>
      <c r="C33" s="4">
        <v>0.5</v>
      </c>
      <c r="D33" s="4">
        <v>0.33333333333333331</v>
      </c>
      <c r="E33" s="4">
        <v>0.33333333333333331</v>
      </c>
      <c r="F33" s="4">
        <v>0.38461538461538464</v>
      </c>
    </row>
    <row r="34" spans="1:6" x14ac:dyDescent="0.2">
      <c r="A34" s="3" t="s">
        <v>78</v>
      </c>
      <c r="B34" s="4">
        <v>0</v>
      </c>
      <c r="C34" s="4">
        <v>0.25</v>
      </c>
      <c r="D34" s="4">
        <v>0.33333333333333331</v>
      </c>
      <c r="E34" s="4">
        <v>0.33333333333333331</v>
      </c>
      <c r="F34" s="4">
        <v>0.23076923076923078</v>
      </c>
    </row>
    <row r="35" spans="1:6" x14ac:dyDescent="0.2">
      <c r="A35" s="3" t="s">
        <v>81</v>
      </c>
      <c r="B35" s="4">
        <v>0.47619047619047616</v>
      </c>
      <c r="C35" s="4">
        <v>0.45098039215686275</v>
      </c>
      <c r="D35" s="4">
        <v>0.31868131868131866</v>
      </c>
      <c r="E35" s="4">
        <v>0.32608695652173914</v>
      </c>
      <c r="F35" s="4">
        <v>0.39743589743589741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DCFE-B2DF-154D-B0E5-878E65BC3081}">
  <dimension ref="A1:G47"/>
  <sheetViews>
    <sheetView topLeftCell="A13" workbookViewId="0">
      <selection activeCell="F44" sqref="F44"/>
    </sheetView>
  </sheetViews>
  <sheetFormatPr baseColWidth="10" defaultRowHeight="15" x14ac:dyDescent="0.2"/>
  <cols>
    <col min="1" max="1" width="18.6640625" customWidth="1"/>
    <col min="5" max="5" width="17" customWidth="1"/>
  </cols>
  <sheetData>
    <row r="1" spans="1:5" x14ac:dyDescent="0.2">
      <c r="A1" t="s">
        <v>85</v>
      </c>
    </row>
    <row r="2" spans="1:5" ht="16" thickBot="1" x14ac:dyDescent="0.25"/>
    <row r="3" spans="1:5" x14ac:dyDescent="0.2">
      <c r="A3" s="9" t="s">
        <v>86</v>
      </c>
      <c r="B3" s="9" t="s">
        <v>87</v>
      </c>
      <c r="C3" s="9" t="s">
        <v>88</v>
      </c>
      <c r="D3" s="9" t="s">
        <v>89</v>
      </c>
      <c r="E3" s="9" t="s">
        <v>90</v>
      </c>
    </row>
    <row r="4" spans="1:5" x14ac:dyDescent="0.2">
      <c r="A4" s="7" t="s">
        <v>48</v>
      </c>
      <c r="B4" s="7">
        <v>4</v>
      </c>
      <c r="C4" s="7">
        <v>2.4999999999999996</v>
      </c>
      <c r="D4" s="7">
        <v>0.62499999999999989</v>
      </c>
      <c r="E4" s="7">
        <v>6.9444444444445681E-3</v>
      </c>
    </row>
    <row r="5" spans="1:5" x14ac:dyDescent="0.2">
      <c r="A5" s="7" t="s">
        <v>11</v>
      </c>
      <c r="B5" s="7">
        <v>4</v>
      </c>
      <c r="C5" s="7">
        <v>2.1666666666666665</v>
      </c>
      <c r="D5" s="7">
        <v>0.54166666666666663</v>
      </c>
      <c r="E5" s="7">
        <v>2.5462962962963021E-2</v>
      </c>
    </row>
    <row r="6" spans="1:5" x14ac:dyDescent="0.2">
      <c r="A6" s="7" t="s">
        <v>34</v>
      </c>
      <c r="B6" s="7">
        <v>4</v>
      </c>
      <c r="C6" s="7">
        <v>1.4999999999999998</v>
      </c>
      <c r="D6" s="7">
        <v>0.37499999999999994</v>
      </c>
      <c r="E6" s="7">
        <v>8.1018518518518559E-2</v>
      </c>
    </row>
    <row r="7" spans="1:5" x14ac:dyDescent="0.2">
      <c r="A7" s="7" t="s">
        <v>36</v>
      </c>
      <c r="B7" s="7">
        <v>4</v>
      </c>
      <c r="C7" s="7">
        <v>1.833333333333333</v>
      </c>
      <c r="D7" s="7">
        <v>0.45833333333333326</v>
      </c>
      <c r="E7" s="7">
        <v>2.5462962962963093E-2</v>
      </c>
    </row>
    <row r="8" spans="1:5" x14ac:dyDescent="0.2">
      <c r="A8" s="7" t="s">
        <v>38</v>
      </c>
      <c r="B8" s="7">
        <v>4</v>
      </c>
      <c r="C8" s="7">
        <v>1.833333333333333</v>
      </c>
      <c r="D8" s="7">
        <v>0.45833333333333326</v>
      </c>
      <c r="E8" s="7">
        <v>2.5462962962963093E-2</v>
      </c>
    </row>
    <row r="9" spans="1:5" x14ac:dyDescent="0.2">
      <c r="A9" s="7" t="s">
        <v>39</v>
      </c>
      <c r="B9" s="7">
        <v>4</v>
      </c>
      <c r="C9" s="7">
        <v>1.5833333333333333</v>
      </c>
      <c r="D9" s="7">
        <v>0.39583333333333331</v>
      </c>
      <c r="E9" s="7">
        <v>3.4143518518518566E-2</v>
      </c>
    </row>
    <row r="10" spans="1:5" x14ac:dyDescent="0.2">
      <c r="A10" s="7" t="s">
        <v>41</v>
      </c>
      <c r="B10" s="7">
        <v>4</v>
      </c>
      <c r="C10" s="7">
        <v>1.9166666666666665</v>
      </c>
      <c r="D10" s="7">
        <v>0.47916666666666663</v>
      </c>
      <c r="E10" s="7">
        <v>4.803240740740744E-2</v>
      </c>
    </row>
    <row r="11" spans="1:5" x14ac:dyDescent="0.2">
      <c r="A11" s="7" t="s">
        <v>43</v>
      </c>
      <c r="B11" s="7">
        <v>4</v>
      </c>
      <c r="C11" s="7">
        <v>1.3333333333333333</v>
      </c>
      <c r="D11" s="7">
        <v>0.33333333333333331</v>
      </c>
      <c r="E11" s="7">
        <v>7.4074074074074112E-2</v>
      </c>
    </row>
    <row r="12" spans="1:5" x14ac:dyDescent="0.2">
      <c r="A12" s="7" t="s">
        <v>44</v>
      </c>
      <c r="B12" s="7">
        <v>4</v>
      </c>
      <c r="C12" s="7">
        <v>1.5833333333333333</v>
      </c>
      <c r="D12" s="7">
        <v>0.39583333333333331</v>
      </c>
      <c r="E12" s="7">
        <v>3.4143518518518566E-2</v>
      </c>
    </row>
    <row r="13" spans="1:5" x14ac:dyDescent="0.2">
      <c r="A13" s="7" t="s">
        <v>46</v>
      </c>
      <c r="B13" s="7">
        <v>4</v>
      </c>
      <c r="C13" s="7">
        <v>1.833333333333333</v>
      </c>
      <c r="D13" s="7">
        <v>0.45833333333333326</v>
      </c>
      <c r="E13" s="7">
        <v>2.5462962962963093E-2</v>
      </c>
    </row>
    <row r="14" spans="1:5" x14ac:dyDescent="0.2">
      <c r="A14" s="7" t="s">
        <v>47</v>
      </c>
      <c r="B14" s="7">
        <v>4</v>
      </c>
      <c r="C14" s="7">
        <v>1.4999999999999998</v>
      </c>
      <c r="D14" s="7">
        <v>0.37499999999999994</v>
      </c>
      <c r="E14" s="7">
        <v>6.9444444444444571E-3</v>
      </c>
    </row>
    <row r="15" spans="1:5" x14ac:dyDescent="0.2">
      <c r="A15" s="7" t="s">
        <v>53</v>
      </c>
      <c r="B15" s="7">
        <v>4</v>
      </c>
      <c r="C15" s="7">
        <v>1.5833333333333333</v>
      </c>
      <c r="D15" s="7">
        <v>0.39583333333333331</v>
      </c>
      <c r="E15" s="7">
        <v>3.4143518518518566E-2</v>
      </c>
    </row>
    <row r="16" spans="1:5" x14ac:dyDescent="0.2">
      <c r="A16" s="7" t="s">
        <v>54</v>
      </c>
      <c r="B16" s="7">
        <v>4</v>
      </c>
      <c r="C16" s="7">
        <v>1.833333333333333</v>
      </c>
      <c r="D16" s="7">
        <v>0.45833333333333326</v>
      </c>
      <c r="E16" s="7">
        <v>2.5462962962963093E-2</v>
      </c>
    </row>
    <row r="17" spans="1:5" x14ac:dyDescent="0.2">
      <c r="A17" s="7" t="s">
        <v>55</v>
      </c>
      <c r="B17" s="7">
        <v>4</v>
      </c>
      <c r="C17" s="7">
        <v>1.8333333333333333</v>
      </c>
      <c r="D17" s="7">
        <v>0.45833333333333331</v>
      </c>
      <c r="E17" s="7">
        <v>2.5462962962963021E-2</v>
      </c>
    </row>
    <row r="18" spans="1:5" x14ac:dyDescent="0.2">
      <c r="A18" s="7" t="s">
        <v>56</v>
      </c>
      <c r="B18" s="7">
        <v>4</v>
      </c>
      <c r="C18" s="7">
        <v>1.4999999999999998</v>
      </c>
      <c r="D18" s="7">
        <v>0.37499999999999994</v>
      </c>
      <c r="E18" s="7">
        <v>8.1018518518518559E-2</v>
      </c>
    </row>
    <row r="19" spans="1:5" x14ac:dyDescent="0.2">
      <c r="A19" s="7" t="s">
        <v>57</v>
      </c>
      <c r="B19" s="7">
        <v>4</v>
      </c>
      <c r="C19" s="7">
        <v>1.8333333333333333</v>
      </c>
      <c r="D19" s="7">
        <v>0.45833333333333331</v>
      </c>
      <c r="E19" s="7">
        <v>2.5462962962963021E-2</v>
      </c>
    </row>
    <row r="20" spans="1:5" x14ac:dyDescent="0.2">
      <c r="A20" s="7" t="s">
        <v>58</v>
      </c>
      <c r="B20" s="7">
        <v>4</v>
      </c>
      <c r="C20" s="7">
        <v>1.5833333333333333</v>
      </c>
      <c r="D20" s="7">
        <v>0.39583333333333331</v>
      </c>
      <c r="E20" s="7">
        <v>3.4143518518518566E-2</v>
      </c>
    </row>
    <row r="21" spans="1:5" x14ac:dyDescent="0.2">
      <c r="A21" s="7" t="s">
        <v>60</v>
      </c>
      <c r="B21" s="7">
        <v>4</v>
      </c>
      <c r="C21" s="7">
        <v>0.33333333333333331</v>
      </c>
      <c r="D21" s="7">
        <v>8.3333333333333329E-2</v>
      </c>
      <c r="E21" s="7">
        <v>2.7777777777777776E-2</v>
      </c>
    </row>
    <row r="22" spans="1:5" x14ac:dyDescent="0.2">
      <c r="A22" s="7" t="s">
        <v>61</v>
      </c>
      <c r="B22" s="7">
        <v>4</v>
      </c>
      <c r="C22" s="7">
        <v>1.833333333333333</v>
      </c>
      <c r="D22" s="7">
        <v>0.45833333333333326</v>
      </c>
      <c r="E22" s="7">
        <v>2.5462962962963093E-2</v>
      </c>
    </row>
    <row r="23" spans="1:5" x14ac:dyDescent="0.2">
      <c r="A23" s="7" t="s">
        <v>64</v>
      </c>
      <c r="B23" s="7">
        <v>4</v>
      </c>
      <c r="C23" s="7">
        <v>1.4999999999999998</v>
      </c>
      <c r="D23" s="7">
        <v>0.37499999999999994</v>
      </c>
      <c r="E23" s="7">
        <v>8.1018518518518559E-2</v>
      </c>
    </row>
    <row r="24" spans="1:5" x14ac:dyDescent="0.2">
      <c r="A24" s="7" t="s">
        <v>65</v>
      </c>
      <c r="B24" s="7">
        <v>4</v>
      </c>
      <c r="C24" s="7">
        <v>1.4999999999999998</v>
      </c>
      <c r="D24" s="7">
        <v>0.37499999999999994</v>
      </c>
      <c r="E24" s="7">
        <v>8.1018518518518559E-2</v>
      </c>
    </row>
    <row r="25" spans="1:5" x14ac:dyDescent="0.2">
      <c r="A25" s="7" t="s">
        <v>66</v>
      </c>
      <c r="B25" s="7">
        <v>4</v>
      </c>
      <c r="C25" s="7">
        <v>1.5833333333333333</v>
      </c>
      <c r="D25" s="7">
        <v>0.39583333333333331</v>
      </c>
      <c r="E25" s="7">
        <v>3.4143518518518566E-2</v>
      </c>
    </row>
    <row r="26" spans="1:5" x14ac:dyDescent="0.2">
      <c r="A26" s="7" t="s">
        <v>67</v>
      </c>
      <c r="B26" s="7">
        <v>4</v>
      </c>
      <c r="C26" s="7">
        <v>1.0666666666666667</v>
      </c>
      <c r="D26" s="7">
        <v>0.26666666666666666</v>
      </c>
      <c r="E26" s="7">
        <v>3.2592592592592597E-2</v>
      </c>
    </row>
    <row r="27" spans="1:5" x14ac:dyDescent="0.2">
      <c r="A27" s="7" t="s">
        <v>68</v>
      </c>
      <c r="B27" s="7">
        <v>4</v>
      </c>
      <c r="C27" s="7">
        <v>1.833333333333333</v>
      </c>
      <c r="D27" s="7">
        <v>0.45833333333333326</v>
      </c>
      <c r="E27" s="7">
        <v>2.5462962962963093E-2</v>
      </c>
    </row>
    <row r="28" spans="1:5" x14ac:dyDescent="0.2">
      <c r="A28" s="7" t="s">
        <v>70</v>
      </c>
      <c r="B28" s="7">
        <v>4</v>
      </c>
      <c r="C28" s="7">
        <v>1.9166666666666665</v>
      </c>
      <c r="D28" s="7">
        <v>0.47916666666666663</v>
      </c>
      <c r="E28" s="7">
        <v>4.803240740740744E-2</v>
      </c>
    </row>
    <row r="29" spans="1:5" x14ac:dyDescent="0.2">
      <c r="A29" s="7" t="s">
        <v>72</v>
      </c>
      <c r="B29" s="7">
        <v>4</v>
      </c>
      <c r="C29" s="7">
        <v>1.833333333333333</v>
      </c>
      <c r="D29" s="7">
        <v>0.45833333333333326</v>
      </c>
      <c r="E29" s="7">
        <v>2.5462962962963093E-2</v>
      </c>
    </row>
    <row r="30" spans="1:5" x14ac:dyDescent="0.2">
      <c r="A30" s="7" t="s">
        <v>73</v>
      </c>
      <c r="B30" s="7">
        <v>4</v>
      </c>
      <c r="C30" s="7">
        <v>0.91666666666666652</v>
      </c>
      <c r="D30" s="7">
        <v>0.22916666666666663</v>
      </c>
      <c r="E30" s="7">
        <v>2.4884259259259283E-2</v>
      </c>
    </row>
    <row r="31" spans="1:5" x14ac:dyDescent="0.2">
      <c r="A31" s="7" t="s">
        <v>75</v>
      </c>
      <c r="B31" s="7">
        <v>4</v>
      </c>
      <c r="C31" s="7">
        <v>1.1666666666666665</v>
      </c>
      <c r="D31" s="7">
        <v>0.29166666666666663</v>
      </c>
      <c r="E31" s="7">
        <v>4.398148148148151E-2</v>
      </c>
    </row>
    <row r="32" spans="1:5" x14ac:dyDescent="0.2">
      <c r="A32" s="7" t="s">
        <v>77</v>
      </c>
      <c r="B32" s="7">
        <v>4</v>
      </c>
      <c r="C32" s="7">
        <v>1.4999999999999998</v>
      </c>
      <c r="D32" s="7">
        <v>0.37499999999999994</v>
      </c>
      <c r="E32" s="7">
        <v>6.9444444444444571E-3</v>
      </c>
    </row>
    <row r="33" spans="1:7" x14ac:dyDescent="0.2">
      <c r="A33" s="7" t="s">
        <v>78</v>
      </c>
      <c r="B33" s="7">
        <v>4</v>
      </c>
      <c r="C33" s="7">
        <v>0.91666666666666652</v>
      </c>
      <c r="D33" s="7">
        <v>0.22916666666666663</v>
      </c>
      <c r="E33" s="7">
        <v>2.4884259259259283E-2</v>
      </c>
    </row>
    <row r="34" spans="1:7" x14ac:dyDescent="0.2">
      <c r="A34" s="7"/>
      <c r="B34" s="7"/>
      <c r="C34" s="7"/>
      <c r="D34" s="7"/>
      <c r="E34" s="7"/>
    </row>
    <row r="35" spans="1:7" x14ac:dyDescent="0.2">
      <c r="A35" s="7" t="s">
        <v>37</v>
      </c>
      <c r="B35" s="7">
        <v>30</v>
      </c>
      <c r="C35" s="7">
        <v>14.483333333333336</v>
      </c>
      <c r="D35" s="7">
        <v>0.48277777777777786</v>
      </c>
      <c r="E35" s="7">
        <v>2.949201787994879E-2</v>
      </c>
    </row>
    <row r="36" spans="1:7" x14ac:dyDescent="0.2">
      <c r="A36" s="7" t="s">
        <v>33</v>
      </c>
      <c r="B36" s="7">
        <v>30</v>
      </c>
      <c r="C36" s="7">
        <v>13.83333333333333</v>
      </c>
      <c r="D36" s="7">
        <v>0.46111111111111103</v>
      </c>
      <c r="E36" s="7">
        <v>5.5906768837803406E-2</v>
      </c>
    </row>
    <row r="37" spans="1:7" x14ac:dyDescent="0.2">
      <c r="A37" s="7" t="s">
        <v>71</v>
      </c>
      <c r="B37" s="7">
        <v>30</v>
      </c>
      <c r="C37" s="7">
        <v>9.5833333333333339</v>
      </c>
      <c r="D37" s="7">
        <v>0.31944444444444448</v>
      </c>
      <c r="E37" s="7">
        <v>2.6859833971902967E-2</v>
      </c>
    </row>
    <row r="38" spans="1:7" ht="16" thickBot="1" x14ac:dyDescent="0.25">
      <c r="A38" s="8" t="s">
        <v>42</v>
      </c>
      <c r="B38" s="8">
        <v>30</v>
      </c>
      <c r="C38" s="8">
        <v>9.75</v>
      </c>
      <c r="D38" s="8">
        <v>0.32500000000000001</v>
      </c>
      <c r="E38" s="8">
        <v>2.0282567049808461E-2</v>
      </c>
    </row>
    <row r="41" spans="1:7" ht="16" thickBot="1" x14ac:dyDescent="0.25">
      <c r="A41" t="s">
        <v>91</v>
      </c>
    </row>
    <row r="42" spans="1:7" x14ac:dyDescent="0.2">
      <c r="A42" s="9" t="s">
        <v>92</v>
      </c>
      <c r="B42" s="9" t="s">
        <v>93</v>
      </c>
      <c r="C42" s="9" t="s">
        <v>94</v>
      </c>
      <c r="D42" s="9" t="s">
        <v>95</v>
      </c>
      <c r="E42" s="9" t="s">
        <v>96</v>
      </c>
      <c r="F42" s="9" t="s">
        <v>97</v>
      </c>
      <c r="G42" s="9" t="s">
        <v>98</v>
      </c>
    </row>
    <row r="43" spans="1:7" x14ac:dyDescent="0.2">
      <c r="A43" s="7" t="s">
        <v>99</v>
      </c>
      <c r="B43" s="7">
        <v>1.2401597222222258</v>
      </c>
      <c r="C43" s="7">
        <v>29</v>
      </c>
      <c r="D43" s="7">
        <v>4.2764128352490542E-2</v>
      </c>
      <c r="E43" s="7">
        <v>1.4290107732809896</v>
      </c>
      <c r="F43" s="7">
        <v>0.10467031922816139</v>
      </c>
      <c r="G43" s="7">
        <v>1.5978221328295721</v>
      </c>
    </row>
    <row r="44" spans="1:7" x14ac:dyDescent="0.2">
      <c r="A44" s="7" t="s">
        <v>100</v>
      </c>
      <c r="B44" s="7">
        <v>0.68000694444444942</v>
      </c>
      <c r="C44" s="7">
        <v>3</v>
      </c>
      <c r="D44" s="7">
        <v>0.22666898148148315</v>
      </c>
      <c r="E44" s="7">
        <v>7.5743953866138876</v>
      </c>
      <c r="F44" s="7">
        <v>1.4696823426045425E-4</v>
      </c>
      <c r="G44" s="7">
        <v>2.7094021447840118</v>
      </c>
    </row>
    <row r="45" spans="1:7" x14ac:dyDescent="0.2">
      <c r="A45" s="7" t="s">
        <v>101</v>
      </c>
      <c r="B45" s="7">
        <v>2.6035347222222174</v>
      </c>
      <c r="C45" s="7">
        <v>87</v>
      </c>
      <c r="D45" s="7">
        <v>2.9925686462324338E-2</v>
      </c>
      <c r="E45" s="7"/>
      <c r="F45" s="7"/>
      <c r="G45" s="7"/>
    </row>
    <row r="46" spans="1:7" x14ac:dyDescent="0.2">
      <c r="A46" s="7"/>
      <c r="B46" s="7"/>
      <c r="C46" s="7"/>
      <c r="D46" s="7"/>
      <c r="E46" s="7"/>
      <c r="F46" s="7"/>
      <c r="G46" s="7"/>
    </row>
    <row r="47" spans="1:7" ht="16" thickBot="1" x14ac:dyDescent="0.25">
      <c r="A47" s="8" t="s">
        <v>102</v>
      </c>
      <c r="B47" s="8">
        <v>4.5237013888888926</v>
      </c>
      <c r="C47" s="8">
        <v>119</v>
      </c>
      <c r="D47" s="8"/>
      <c r="E47" s="8"/>
      <c r="F47" s="8"/>
      <c r="G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Average Calc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Chezza Mae Bomediano</cp:lastModifiedBy>
  <dcterms:created xsi:type="dcterms:W3CDTF">2026-03-10T06:42:16Z</dcterms:created>
  <dcterms:modified xsi:type="dcterms:W3CDTF">2026-03-21T21:01:49Z</dcterms:modified>
</cp:coreProperties>
</file>